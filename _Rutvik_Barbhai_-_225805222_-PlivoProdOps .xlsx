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_Raw" sheetId="1" r:id="rId4"/>
    <sheet state="visible" name="Allocation" sheetId="2" r:id="rId5"/>
    <sheet state="visible" name="Pivot Table 1" sheetId="3" r:id="rId6"/>
    <sheet state="visible" name="Dashboard" sheetId="4" r:id="rId7"/>
    <sheet state="visible" name="Dept_Lookup" sheetId="5" r:id="rId8"/>
    <sheet state="visible" name="Interview_Slots" sheetId="6" r:id="rId9"/>
    <sheet state="visible" name="Scoring_Weights" sheetId="7" r:id="rId10"/>
  </sheets>
  <definedNames>
    <definedName hidden="1" localSheetId="0" name="_xlnm._FilterDatabase">Applicants_Raw!$A$1:$M$1000</definedName>
  </definedNames>
  <calcPr/>
  <pivotCaches>
    <pivotCache cacheId="0" r:id="rId11"/>
    <pivotCache cacheId="1" r:id="rId12"/>
    <pivotCache cacheId="2" r:id="rId13"/>
  </pivotCaches>
</workbook>
</file>

<file path=xl/sharedStrings.xml><?xml version="1.0" encoding="utf-8"?>
<sst xmlns="http://schemas.openxmlformats.org/spreadsheetml/2006/main" count="4293" uniqueCount="982">
  <si>
    <t>Student_ID</t>
  </si>
  <si>
    <t>Name</t>
  </si>
  <si>
    <t>Department</t>
  </si>
  <si>
    <t>Standardized_Department</t>
  </si>
  <si>
    <t>Test_1_Score</t>
  </si>
  <si>
    <t>Test_2_Score</t>
  </si>
  <si>
    <t>Test_3_Score</t>
  </si>
  <si>
    <t>Attendance_%</t>
  </si>
  <si>
    <t>Application_Date</t>
  </si>
  <si>
    <t>Internship_Pref</t>
  </si>
  <si>
    <t>Assignment_Completion_%</t>
  </si>
  <si>
    <t>Weighted_Score</t>
  </si>
  <si>
    <t>Eligibility_Status</t>
  </si>
  <si>
    <t xml:space="preserve"> </t>
  </si>
  <si>
    <t>S001</t>
  </si>
  <si>
    <t>Aadhya Jain</t>
  </si>
  <si>
    <t>CSE</t>
  </si>
  <si>
    <t>Company C</t>
  </si>
  <si>
    <t>S002</t>
  </si>
  <si>
    <t>Myra Chatterjee</t>
  </si>
  <si>
    <t>Comp Sci</t>
  </si>
  <si>
    <t>Company B</t>
  </si>
  <si>
    <t>S003</t>
  </si>
  <si>
    <t>Diya Gupta</t>
  </si>
  <si>
    <t>CS</t>
  </si>
  <si>
    <t>Company D</t>
  </si>
  <si>
    <t>S004</t>
  </si>
  <si>
    <t>Sai Agarwal</t>
  </si>
  <si>
    <t>Computer Science</t>
  </si>
  <si>
    <t>S005</t>
  </si>
  <si>
    <t>Anika Mukherjee</t>
  </si>
  <si>
    <t>ECE</t>
  </si>
  <si>
    <t>Company A</t>
  </si>
  <si>
    <t>S006</t>
  </si>
  <si>
    <t>Krishna Agarwal</t>
  </si>
  <si>
    <t>Electro</t>
  </si>
  <si>
    <t>S007</t>
  </si>
  <si>
    <t>Ananya Mishra</t>
  </si>
  <si>
    <t>ELEC</t>
  </si>
  <si>
    <t>S008</t>
  </si>
  <si>
    <t>Reyansh Chopra</t>
  </si>
  <si>
    <t>Electronics</t>
  </si>
  <si>
    <t>S009</t>
  </si>
  <si>
    <t>Vihaan Singh</t>
  </si>
  <si>
    <t>Mech</t>
  </si>
  <si>
    <t>S010</t>
  </si>
  <si>
    <t>Ananya Mukherjee</t>
  </si>
  <si>
    <t>ME</t>
  </si>
  <si>
    <t>S011</t>
  </si>
  <si>
    <t>Ananya Singh</t>
  </si>
  <si>
    <t>Mechanical Engg</t>
  </si>
  <si>
    <t>S012</t>
  </si>
  <si>
    <t>Ananya Rao</t>
  </si>
  <si>
    <t>Mechanical</t>
  </si>
  <si>
    <t>S013</t>
  </si>
  <si>
    <t>Aarohi Jain</t>
  </si>
  <si>
    <t>CIV</t>
  </si>
  <si>
    <t>S014</t>
  </si>
  <si>
    <t>Navya Menon</t>
  </si>
  <si>
    <t>Civil Engg</t>
  </si>
  <si>
    <t>S015</t>
  </si>
  <si>
    <t>Aarav Sharma</t>
  </si>
  <si>
    <t>CE</t>
  </si>
  <si>
    <t>S016</t>
  </si>
  <si>
    <t>Rohan Mehta</t>
  </si>
  <si>
    <t>Civil</t>
  </si>
  <si>
    <t>S017</t>
  </si>
  <si>
    <t>Kabir Iyer</t>
  </si>
  <si>
    <t>S018</t>
  </si>
  <si>
    <t>Vihaan Reddy</t>
  </si>
  <si>
    <t>S019</t>
  </si>
  <si>
    <t>Sameer Deshmukh</t>
  </si>
  <si>
    <t>S020</t>
  </si>
  <si>
    <t>Rajesh Nair</t>
  </si>
  <si>
    <t>S021</t>
  </si>
  <si>
    <t>Anil Verma</t>
  </si>
  <si>
    <t>S022</t>
  </si>
  <si>
    <t>Devendra Patel</t>
  </si>
  <si>
    <t>S023</t>
  </si>
  <si>
    <t>Manish Gupta</t>
  </si>
  <si>
    <t>S024</t>
  </si>
  <si>
    <t>Harsh Malhotra</t>
  </si>
  <si>
    <t>S025</t>
  </si>
  <si>
    <t>Pranav Kulkarni</t>
  </si>
  <si>
    <t>S026</t>
  </si>
  <si>
    <t>Karan Singh</t>
  </si>
  <si>
    <t>S027</t>
  </si>
  <si>
    <t>Suresh Bhatia</t>
  </si>
  <si>
    <t>S028</t>
  </si>
  <si>
    <t>Aditya Choudhury</t>
  </si>
  <si>
    <t>S029</t>
  </si>
  <si>
    <t>Sanjay Kapoor</t>
  </si>
  <si>
    <t>S030</t>
  </si>
  <si>
    <t>Naveen Menon</t>
  </si>
  <si>
    <t>S031</t>
  </si>
  <si>
    <t>Gopal Das</t>
  </si>
  <si>
    <t>S032</t>
  </si>
  <si>
    <t>Abhishek Joshi</t>
  </si>
  <si>
    <t>S033</t>
  </si>
  <si>
    <t>Siddharth Rao</t>
  </si>
  <si>
    <t>S034</t>
  </si>
  <si>
    <t>Vikram Shetty</t>
  </si>
  <si>
    <t>S035</t>
  </si>
  <si>
    <t>Aisha Khan</t>
  </si>
  <si>
    <t>S036</t>
  </si>
  <si>
    <t>Priya Sharma</t>
  </si>
  <si>
    <t>S037</t>
  </si>
  <si>
    <t>Ananya Reddy</t>
  </si>
  <si>
    <t>S038</t>
  </si>
  <si>
    <t>Lakshmi Nair</t>
  </si>
  <si>
    <t>S039</t>
  </si>
  <si>
    <t>Kavya Iyer</t>
  </si>
  <si>
    <t>S040</t>
  </si>
  <si>
    <t>Ritu Mehta</t>
  </si>
  <si>
    <t>S041</t>
  </si>
  <si>
    <t>Sita Das</t>
  </si>
  <si>
    <t>S042</t>
  </si>
  <si>
    <t>Meera Verma</t>
  </si>
  <si>
    <t>S043</t>
  </si>
  <si>
    <t>Pooja Malhotra</t>
  </si>
  <si>
    <t>S044</t>
  </si>
  <si>
    <t>Deepika Gupta</t>
  </si>
  <si>
    <t>S045</t>
  </si>
  <si>
    <t>Shreya Choudhury</t>
  </si>
  <si>
    <t>S046</t>
  </si>
  <si>
    <t>Radha Kulkarni</t>
  </si>
  <si>
    <t>S047</t>
  </si>
  <si>
    <t>Sneha Patel</t>
  </si>
  <si>
    <t>S048</t>
  </si>
  <si>
    <t>Neha Menon</t>
  </si>
  <si>
    <t>S049</t>
  </si>
  <si>
    <t>Divya Kapoor</t>
  </si>
  <si>
    <t>S050</t>
  </si>
  <si>
    <t>Nandini Shetty</t>
  </si>
  <si>
    <t>S051</t>
  </si>
  <si>
    <t>Sunita Singh</t>
  </si>
  <si>
    <t>S052</t>
  </si>
  <si>
    <t>Ishita Bhatia</t>
  </si>
  <si>
    <t>S053</t>
  </si>
  <si>
    <t>Alka Joshi</t>
  </si>
  <si>
    <t>S054</t>
  </si>
  <si>
    <t>Jaya Rao</t>
  </si>
  <si>
    <t>S055</t>
  </si>
  <si>
    <t>Krishna Sharma</t>
  </si>
  <si>
    <t>S056</t>
  </si>
  <si>
    <t>Arya Kapoor</t>
  </si>
  <si>
    <t>S057</t>
  </si>
  <si>
    <t>Kiran Menon</t>
  </si>
  <si>
    <t>S058</t>
  </si>
  <si>
    <t>Surya Patel</t>
  </si>
  <si>
    <t>S059</t>
  </si>
  <si>
    <t>Chaitanya Rao</t>
  </si>
  <si>
    <t>S060</t>
  </si>
  <si>
    <t>Gauri Nair</t>
  </si>
  <si>
    <t>S061</t>
  </si>
  <si>
    <t>Anmol Gupta</t>
  </si>
  <si>
    <t>S062</t>
  </si>
  <si>
    <t>Harini Iyer</t>
  </si>
  <si>
    <t>S063</t>
  </si>
  <si>
    <t>Tanmay Kulkarni</t>
  </si>
  <si>
    <t>S064</t>
  </si>
  <si>
    <t>Tejas Malhotra</t>
  </si>
  <si>
    <t>S065</t>
  </si>
  <si>
    <t>Arvind Sharma</t>
  </si>
  <si>
    <t>S066</t>
  </si>
  <si>
    <t>Rahul Mehta</t>
  </si>
  <si>
    <t>S067</t>
  </si>
  <si>
    <t>Nikhil Reddy</t>
  </si>
  <si>
    <t>S068</t>
  </si>
  <si>
    <t>Mohan Iyer</t>
  </si>
  <si>
    <t>S069</t>
  </si>
  <si>
    <t>Ajay Menon</t>
  </si>
  <si>
    <t>S070</t>
  </si>
  <si>
    <t>Vikas Kapoor</t>
  </si>
  <si>
    <t>S071</t>
  </si>
  <si>
    <t>Ashok Nair</t>
  </si>
  <si>
    <t>S072</t>
  </si>
  <si>
    <t>Rohit Singh</t>
  </si>
  <si>
    <t>S073</t>
  </si>
  <si>
    <t>Tarun Bhatia</t>
  </si>
  <si>
    <t>S074</t>
  </si>
  <si>
    <t>Amit Choudhury</t>
  </si>
  <si>
    <t>S075</t>
  </si>
  <si>
    <t>Sandeep Joshi</t>
  </si>
  <si>
    <t>S076</t>
  </si>
  <si>
    <t>Vinod Malhotra</t>
  </si>
  <si>
    <t>S077</t>
  </si>
  <si>
    <t>Deepak Verma</t>
  </si>
  <si>
    <t>S078</t>
  </si>
  <si>
    <t>Kunal Das</t>
  </si>
  <si>
    <t>S079</t>
  </si>
  <si>
    <t>Anup Shetty</t>
  </si>
  <si>
    <t>S080</t>
  </si>
  <si>
    <t>Pritam Rao</t>
  </si>
  <si>
    <t>S081</t>
  </si>
  <si>
    <t>Ramesh Patel</t>
  </si>
  <si>
    <t>S082</t>
  </si>
  <si>
    <t>Dinesh Kulkarni</t>
  </si>
  <si>
    <t>S083</t>
  </si>
  <si>
    <t>Omkar Gupta</t>
  </si>
  <si>
    <t>S084</t>
  </si>
  <si>
    <t>Yogesh Nair</t>
  </si>
  <si>
    <t>S085</t>
  </si>
  <si>
    <t>Aarti Sharma</t>
  </si>
  <si>
    <t>S086</t>
  </si>
  <si>
    <t>Jyoti Mehta</t>
  </si>
  <si>
    <t>S087</t>
  </si>
  <si>
    <t>Pallavi Reddy</t>
  </si>
  <si>
    <t>S088</t>
  </si>
  <si>
    <t>Rekha Iyer</t>
  </si>
  <si>
    <t>S089</t>
  </si>
  <si>
    <t>Snehal Menon</t>
  </si>
  <si>
    <t>S090</t>
  </si>
  <si>
    <t>Swati Kapoor</t>
  </si>
  <si>
    <t>S091</t>
  </si>
  <si>
    <t>Vandana Nair</t>
  </si>
  <si>
    <t>S092</t>
  </si>
  <si>
    <t>Leela Singh</t>
  </si>
  <si>
    <t>S093</t>
  </si>
  <si>
    <t>Bhavna Bhatia</t>
  </si>
  <si>
    <t>S094</t>
  </si>
  <si>
    <t>Kusum Choudhury</t>
  </si>
  <si>
    <t>S095</t>
  </si>
  <si>
    <t>Roshni Joshi</t>
  </si>
  <si>
    <t>S096</t>
  </si>
  <si>
    <t>Madhuri Malhotra</t>
  </si>
  <si>
    <t>S097</t>
  </si>
  <si>
    <t>Kiran Verma</t>
  </si>
  <si>
    <t>S098</t>
  </si>
  <si>
    <t>Sarita Das</t>
  </si>
  <si>
    <t>S099</t>
  </si>
  <si>
    <t>Anushka Shetty</t>
  </si>
  <si>
    <t>S100</t>
  </si>
  <si>
    <t>Malini Rao</t>
  </si>
  <si>
    <t>S101</t>
  </si>
  <si>
    <t>Padma Patel</t>
  </si>
  <si>
    <t>S102</t>
  </si>
  <si>
    <t>Sangeeta Kulkarni</t>
  </si>
  <si>
    <t>S103</t>
  </si>
  <si>
    <t>Monika Gupta</t>
  </si>
  <si>
    <t>S104</t>
  </si>
  <si>
    <t>Trisha Nair</t>
  </si>
  <si>
    <t>S105</t>
  </si>
  <si>
    <t>Dev Sharma</t>
  </si>
  <si>
    <t>S106</t>
  </si>
  <si>
    <t>Aryan Mehta</t>
  </si>
  <si>
    <t>S107</t>
  </si>
  <si>
    <t>Aarohi Reddy</t>
  </si>
  <si>
    <t>S108</t>
  </si>
  <si>
    <t>Charan Iyer</t>
  </si>
  <si>
    <t>S109</t>
  </si>
  <si>
    <t>Simran Singh</t>
  </si>
  <si>
    <t>S110</t>
  </si>
  <si>
    <t>Noor Khan</t>
  </si>
  <si>
    <t>S111</t>
  </si>
  <si>
    <t>Ayaan Patel</t>
  </si>
  <si>
    <t>S112</t>
  </si>
  <si>
    <t>Ruhi Malhotra</t>
  </si>
  <si>
    <t>S113</t>
  </si>
  <si>
    <t>Veer Joshi</t>
  </si>
  <si>
    <t>S114</t>
  </si>
  <si>
    <t>Tanishka Rao</t>
  </si>
  <si>
    <t>S115</t>
  </si>
  <si>
    <t>Arun Sharma</t>
  </si>
  <si>
    <t>S116</t>
  </si>
  <si>
    <t>Mohit Mehta</t>
  </si>
  <si>
    <t>S117</t>
  </si>
  <si>
    <t>Siddhant Reddy</t>
  </si>
  <si>
    <t>S118</t>
  </si>
  <si>
    <t>Ashwin Iyer</t>
  </si>
  <si>
    <t>S119</t>
  </si>
  <si>
    <t>Rajiv Nair</t>
  </si>
  <si>
    <t>S120</t>
  </si>
  <si>
    <t>Chetan Kapoor</t>
  </si>
  <si>
    <t>S121</t>
  </si>
  <si>
    <t>Govind Singh</t>
  </si>
  <si>
    <t>S122</t>
  </si>
  <si>
    <t>Prakash Bhatia</t>
  </si>
  <si>
    <t>S123</t>
  </si>
  <si>
    <t>Lalit Verma</t>
  </si>
  <si>
    <t>S124</t>
  </si>
  <si>
    <t>Armaan Joshi</t>
  </si>
  <si>
    <t>S125</t>
  </si>
  <si>
    <t>Keshav Choudhury</t>
  </si>
  <si>
    <t>S126</t>
  </si>
  <si>
    <t>Nitin Das</t>
  </si>
  <si>
    <t>S127</t>
  </si>
  <si>
    <t>Harinder Malhotra</t>
  </si>
  <si>
    <t>S128</t>
  </si>
  <si>
    <t>Jatin Kulkarni</t>
  </si>
  <si>
    <t>S129</t>
  </si>
  <si>
    <t>Manoj Rao</t>
  </si>
  <si>
    <t>S130</t>
  </si>
  <si>
    <t>Varun Shetty</t>
  </si>
  <si>
    <t>S131</t>
  </si>
  <si>
    <t>Sunil Patel</t>
  </si>
  <si>
    <t>S132</t>
  </si>
  <si>
    <t>Parth Menon</t>
  </si>
  <si>
    <t>S133</t>
  </si>
  <si>
    <t>Raghav Gupta</t>
  </si>
  <si>
    <t>S134</t>
  </si>
  <si>
    <t>Omprakash Nair</t>
  </si>
  <si>
    <t>S135</t>
  </si>
  <si>
    <t>Kavitha Sharma</t>
  </si>
  <si>
    <t>S136</t>
  </si>
  <si>
    <t>Anjali Mehta</t>
  </si>
  <si>
    <t>S137</t>
  </si>
  <si>
    <t>Tanvi Reddy</t>
  </si>
  <si>
    <t>S138</t>
  </si>
  <si>
    <t>Sushma Iyer</t>
  </si>
  <si>
    <t>S139</t>
  </si>
  <si>
    <t>Nirmala Singh</t>
  </si>
  <si>
    <t>S140</t>
  </si>
  <si>
    <t>Bhavya Kapoor</t>
  </si>
  <si>
    <t>S141</t>
  </si>
  <si>
    <t>Reema Nair</t>
  </si>
  <si>
    <t>S142</t>
  </si>
  <si>
    <t>Shalini Bhatia</t>
  </si>
  <si>
    <t>S143</t>
  </si>
  <si>
    <t>Devika Verma</t>
  </si>
  <si>
    <t>S144</t>
  </si>
  <si>
    <t>Komal Malhotra</t>
  </si>
  <si>
    <t>S145</t>
  </si>
  <si>
    <t>Usha Joshi</t>
  </si>
  <si>
    <t>S146</t>
  </si>
  <si>
    <t>Padmini Das</t>
  </si>
  <si>
    <t>S147</t>
  </si>
  <si>
    <t>Ishwari Rao</t>
  </si>
  <si>
    <t>S148</t>
  </si>
  <si>
    <t>Lata Kulkarni</t>
  </si>
  <si>
    <t>S149</t>
  </si>
  <si>
    <t>Mridula Shetty</t>
  </si>
  <si>
    <t>S150</t>
  </si>
  <si>
    <t>Charulata Patel</t>
  </si>
  <si>
    <t>S151</t>
  </si>
  <si>
    <t>Seema Gupta</t>
  </si>
  <si>
    <t>S152</t>
  </si>
  <si>
    <t>Madhavi Choudhury</t>
  </si>
  <si>
    <t>S153</t>
  </si>
  <si>
    <t>Prerna Menon</t>
  </si>
  <si>
    <t>S154</t>
  </si>
  <si>
    <t>Sonal Kapoor</t>
  </si>
  <si>
    <t>S155</t>
  </si>
  <si>
    <t>Ayaan Sharma</t>
  </si>
  <si>
    <t>S156</t>
  </si>
  <si>
    <t>Arya Mehta</t>
  </si>
  <si>
    <t>S157</t>
  </si>
  <si>
    <t>Sai Reddy</t>
  </si>
  <si>
    <t>S158</t>
  </si>
  <si>
    <t>Kaviraj Iyer</t>
  </si>
  <si>
    <t>S159</t>
  </si>
  <si>
    <t>Simran Malhotra</t>
  </si>
  <si>
    <t>S160</t>
  </si>
  <si>
    <t>Ishaan Joshi</t>
  </si>
  <si>
    <t>S161</t>
  </si>
  <si>
    <t>Diya Singh</t>
  </si>
  <si>
    <t>S162</t>
  </si>
  <si>
    <t>Ruhan Patel</t>
  </si>
  <si>
    <t>S163</t>
  </si>
  <si>
    <t>Tia Verma</t>
  </si>
  <si>
    <t>S164</t>
  </si>
  <si>
    <t>Aarohi Rao</t>
  </si>
  <si>
    <t>S165</t>
  </si>
  <si>
    <t>Shyam Sharma</t>
  </si>
  <si>
    <t>S166</t>
  </si>
  <si>
    <t>Nilesh Mehta</t>
  </si>
  <si>
    <t>S167</t>
  </si>
  <si>
    <t>Vivek Reddy</t>
  </si>
  <si>
    <t>S168</t>
  </si>
  <si>
    <t>Ajith Iyer</t>
  </si>
  <si>
    <t>S169</t>
  </si>
  <si>
    <t>Harish Nair</t>
  </si>
  <si>
    <t>S170</t>
  </si>
  <si>
    <t>Mahesh Kapoor</t>
  </si>
  <si>
    <t>S171</t>
  </si>
  <si>
    <t>Pankaj Singh</t>
  </si>
  <si>
    <t>S172</t>
  </si>
  <si>
    <t>Anupam Bhatia</t>
  </si>
  <si>
    <t>S173</t>
  </si>
  <si>
    <t>Devesh Verma</t>
  </si>
  <si>
    <t>S174</t>
  </si>
  <si>
    <t>Ranjit Joshi</t>
  </si>
  <si>
    <t>S175</t>
  </si>
  <si>
    <t>Alok Choudhury</t>
  </si>
  <si>
    <t>S176</t>
  </si>
  <si>
    <t>Suraj Das</t>
  </si>
  <si>
    <t>S177</t>
  </si>
  <si>
    <t>Balaji Rao</t>
  </si>
  <si>
    <t>S178</t>
  </si>
  <si>
    <t>Karthik Shetty</t>
  </si>
  <si>
    <t>S179</t>
  </si>
  <si>
    <t>Akash Patel</t>
  </si>
  <si>
    <t>S180</t>
  </si>
  <si>
    <t>Devraj Kulkarni</t>
  </si>
  <si>
    <t>S181</t>
  </si>
  <si>
    <t>Saurabh Malhotra</t>
  </si>
  <si>
    <t>S182</t>
  </si>
  <si>
    <t>Umesh Menon</t>
  </si>
  <si>
    <t>S183</t>
  </si>
  <si>
    <t>Ritesh Gupta</t>
  </si>
  <si>
    <t>S184</t>
  </si>
  <si>
    <t>Kartik Nair</t>
  </si>
  <si>
    <t>S185</t>
  </si>
  <si>
    <t>Shankar Sharma</t>
  </si>
  <si>
    <t>S186</t>
  </si>
  <si>
    <t>Ajmal Khan</t>
  </si>
  <si>
    <t>S187</t>
  </si>
  <si>
    <t>Mukesh Mehta</t>
  </si>
  <si>
    <t>S188</t>
  </si>
  <si>
    <t>Nirmal Reddy</t>
  </si>
  <si>
    <t>S189</t>
  </si>
  <si>
    <t>Krishnan Iyer</t>
  </si>
  <si>
    <t>S190</t>
  </si>
  <si>
    <t>Ashok Menon</t>
  </si>
  <si>
    <t>S191</t>
  </si>
  <si>
    <t>Anirudh Rao</t>
  </si>
  <si>
    <t>S192</t>
  </si>
  <si>
    <t>Vikash Kapoor</t>
  </si>
  <si>
    <t>S193</t>
  </si>
  <si>
    <t>Raghunath Singh</t>
  </si>
  <si>
    <t>S194</t>
  </si>
  <si>
    <t>Satyam Bhatia</t>
  </si>
  <si>
    <t>S195</t>
  </si>
  <si>
    <t>Eshan Patel</t>
  </si>
  <si>
    <t>S196</t>
  </si>
  <si>
    <t>Pradeep Choudhury</t>
  </si>
  <si>
    <t>S197</t>
  </si>
  <si>
    <t>Lokesh Joshi</t>
  </si>
  <si>
    <t>S198</t>
  </si>
  <si>
    <t>Yash Verma</t>
  </si>
  <si>
    <t>S199</t>
  </si>
  <si>
    <t>Dheeraj Kulkarni</t>
  </si>
  <si>
    <t>S200</t>
  </si>
  <si>
    <t>Manohar Das</t>
  </si>
  <si>
    <t>S201</t>
  </si>
  <si>
    <t>Jeet Malhotra</t>
  </si>
  <si>
    <t>S202</t>
  </si>
  <si>
    <t>Rajan Shetty</t>
  </si>
  <si>
    <t>S203</t>
  </si>
  <si>
    <t>Santhosh Nair</t>
  </si>
  <si>
    <t>S204</t>
  </si>
  <si>
    <t>Inderjit Sharma</t>
  </si>
  <si>
    <t>S205</t>
  </si>
  <si>
    <t>Shaan Mehta</t>
  </si>
  <si>
    <t>S206</t>
  </si>
  <si>
    <t>Irfan Khan</t>
  </si>
  <si>
    <t>S207</t>
  </si>
  <si>
    <t>Om Nair</t>
  </si>
  <si>
    <t>S208</t>
  </si>
  <si>
    <t>Abhay Gupta</t>
  </si>
  <si>
    <t>S209</t>
  </si>
  <si>
    <t>Hemant Joshi</t>
  </si>
  <si>
    <t>S210</t>
  </si>
  <si>
    <t>Piyush Verma</t>
  </si>
  <si>
    <t>S211</t>
  </si>
  <si>
    <t>Surinder Singh</t>
  </si>
  <si>
    <t>S212</t>
  </si>
  <si>
    <t>Ramesh Kapoor</t>
  </si>
  <si>
    <t>S213</t>
  </si>
  <si>
    <t>Rohan Patel</t>
  </si>
  <si>
    <t>S214</t>
  </si>
  <si>
    <t>Nikhilesh Rao</t>
  </si>
  <si>
    <t>S215</t>
  </si>
  <si>
    <t>Radhika Sharma</t>
  </si>
  <si>
    <t>S216</t>
  </si>
  <si>
    <t>Ayesha Khan</t>
  </si>
  <si>
    <t>S217</t>
  </si>
  <si>
    <t>Shruti Mehta</t>
  </si>
  <si>
    <t>S218</t>
  </si>
  <si>
    <t>Amrita Reddy</t>
  </si>
  <si>
    <t>S219</t>
  </si>
  <si>
    <t>Meenakshi Iyer</t>
  </si>
  <si>
    <t>S220</t>
  </si>
  <si>
    <t>Savita Nair</t>
  </si>
  <si>
    <t>S221</t>
  </si>
  <si>
    <t>Nisha Kapoor</t>
  </si>
  <si>
    <t>S222</t>
  </si>
  <si>
    <t>Leela Bhatia</t>
  </si>
  <si>
    <t>S223</t>
  </si>
  <si>
    <t>Pallavi Singh</t>
  </si>
  <si>
    <t>S224</t>
  </si>
  <si>
    <t>Purnima Verma</t>
  </si>
  <si>
    <t>S225</t>
  </si>
  <si>
    <t>Madhavi Joshi</t>
  </si>
  <si>
    <t>S226</t>
  </si>
  <si>
    <t>Rekha Malhotra</t>
  </si>
  <si>
    <t>S227</t>
  </si>
  <si>
    <t>Sanjana Kulkarni</t>
  </si>
  <si>
    <t>S228</t>
  </si>
  <si>
    <t>Anuradha Rao</t>
  </si>
  <si>
    <t>S229</t>
  </si>
  <si>
    <t>Gayatri Patel</t>
  </si>
  <si>
    <t>S230</t>
  </si>
  <si>
    <t>Bhavna Das</t>
  </si>
  <si>
    <t>S231</t>
  </si>
  <si>
    <t>Supriya Menon</t>
  </si>
  <si>
    <t>S232</t>
  </si>
  <si>
    <t>Anika Choudhury</t>
  </si>
  <si>
    <t>S233</t>
  </si>
  <si>
    <t>Rupa Shetty</t>
  </si>
  <si>
    <t>S234</t>
  </si>
  <si>
    <t>Farah Khan</t>
  </si>
  <si>
    <t>S235</t>
  </si>
  <si>
    <t>Kusum Nair</t>
  </si>
  <si>
    <t>S236</t>
  </si>
  <si>
    <t>Monica Gupta</t>
  </si>
  <si>
    <t>S237</t>
  </si>
  <si>
    <t>Neelam Sharma</t>
  </si>
  <si>
    <t>S238</t>
  </si>
  <si>
    <t>Karishma Mehta</t>
  </si>
  <si>
    <t>S239</t>
  </si>
  <si>
    <t>Jhanvi Reddy</t>
  </si>
  <si>
    <t>S240</t>
  </si>
  <si>
    <t>Mrinalini Iyer</t>
  </si>
  <si>
    <t>S241</t>
  </si>
  <si>
    <t>Hemlata Kapoor</t>
  </si>
  <si>
    <t>S242</t>
  </si>
  <si>
    <t>Roopa Singh</t>
  </si>
  <si>
    <t>S243</t>
  </si>
  <si>
    <t>Chhaya Bhatia</t>
  </si>
  <si>
    <t>S244</t>
  </si>
  <si>
    <t>Priyanka Verma</t>
  </si>
  <si>
    <t>S245</t>
  </si>
  <si>
    <t>Kavitha Joshi</t>
  </si>
  <si>
    <t>S246</t>
  </si>
  <si>
    <t>Nalini Malhotra</t>
  </si>
  <si>
    <t>S247</t>
  </si>
  <si>
    <t>Tanushree Kulkarni</t>
  </si>
  <si>
    <t>S248</t>
  </si>
  <si>
    <t>Deepa Rao</t>
  </si>
  <si>
    <t>S249</t>
  </si>
  <si>
    <t>Swarnima Patel</t>
  </si>
  <si>
    <t>S250</t>
  </si>
  <si>
    <t>Parveen Das</t>
  </si>
  <si>
    <t>S251</t>
  </si>
  <si>
    <t>Aditi Shetty</t>
  </si>
  <si>
    <t>S252</t>
  </si>
  <si>
    <t>Vaishali Nair</t>
  </si>
  <si>
    <t>S253</t>
  </si>
  <si>
    <t>Snehal Gupta</t>
  </si>
  <si>
    <t>S254</t>
  </si>
  <si>
    <t>Simran Kapoor</t>
  </si>
  <si>
    <t>S255</t>
  </si>
  <si>
    <t>Archana Sharma</t>
  </si>
  <si>
    <t>S256</t>
  </si>
  <si>
    <t>Sonia Mehta</t>
  </si>
  <si>
    <t>S257</t>
  </si>
  <si>
    <t>Trupti Reddy</t>
  </si>
  <si>
    <t>S258</t>
  </si>
  <si>
    <t>Lavanya Iyer</t>
  </si>
  <si>
    <t>S259</t>
  </si>
  <si>
    <t>Pooja Singh</t>
  </si>
  <si>
    <t>S260</t>
  </si>
  <si>
    <t>Anusha Verma</t>
  </si>
  <si>
    <t>S261</t>
  </si>
  <si>
    <t>Manisha Malhotra</t>
  </si>
  <si>
    <t>S262</t>
  </si>
  <si>
    <t>Chitra Kulkarni</t>
  </si>
  <si>
    <t>S263</t>
  </si>
  <si>
    <t>Saira Banu</t>
  </si>
  <si>
    <t>S264</t>
  </si>
  <si>
    <t>Vijay Sharma</t>
  </si>
  <si>
    <t>S265</t>
  </si>
  <si>
    <t>Zubair Khan</t>
  </si>
  <si>
    <t>S266</t>
  </si>
  <si>
    <t>Anshul Mehta</t>
  </si>
  <si>
    <t>S267</t>
  </si>
  <si>
    <t>Arvind Reddy</t>
  </si>
  <si>
    <t>S268</t>
  </si>
  <si>
    <t>Gokul Iyer</t>
  </si>
  <si>
    <t>S269</t>
  </si>
  <si>
    <t>Sandeep Nair</t>
  </si>
  <si>
    <t>S270</t>
  </si>
  <si>
    <t>Harpal Singh</t>
  </si>
  <si>
    <t>S271</t>
  </si>
  <si>
    <t>Javed Malik</t>
  </si>
  <si>
    <t>S272</t>
  </si>
  <si>
    <t>Tushar Kapoor</t>
  </si>
  <si>
    <t>S273</t>
  </si>
  <si>
    <t>Kunal Bhatia</t>
  </si>
  <si>
    <t>S274</t>
  </si>
  <si>
    <t>Shubham Verma</t>
  </si>
  <si>
    <t>S275</t>
  </si>
  <si>
    <t>Amar Joshi</t>
  </si>
  <si>
    <t>S276</t>
  </si>
  <si>
    <t>Mohanlal Das</t>
  </si>
  <si>
    <t>S277</t>
  </si>
  <si>
    <t>Deepesh Malhotra</t>
  </si>
  <si>
    <t>S278</t>
  </si>
  <si>
    <t>Sachin Kulkarni</t>
  </si>
  <si>
    <t>S279</t>
  </si>
  <si>
    <t>Bharat Rao</t>
  </si>
  <si>
    <t>S280</t>
  </si>
  <si>
    <t>Akhil Patel</t>
  </si>
  <si>
    <t>S281</t>
  </si>
  <si>
    <t>Raghavendra Shetty</t>
  </si>
  <si>
    <t>S282</t>
  </si>
  <si>
    <t>Yuvraj Choudhury</t>
  </si>
  <si>
    <t>S283</t>
  </si>
  <si>
    <t>Ashutosh Gupta</t>
  </si>
  <si>
    <t>S284</t>
  </si>
  <si>
    <t>Manjit Nair</t>
  </si>
  <si>
    <t>S285</t>
  </si>
  <si>
    <t>Imran Khan</t>
  </si>
  <si>
    <t>S286</t>
  </si>
  <si>
    <t>Dhananjay Sharma</t>
  </si>
  <si>
    <t>S287</t>
  </si>
  <si>
    <t>Arpit Mehta</t>
  </si>
  <si>
    <t>S288</t>
  </si>
  <si>
    <t>Santosh Reddy</t>
  </si>
  <si>
    <t>S289</t>
  </si>
  <si>
    <t>Vishwanath Iyer</t>
  </si>
  <si>
    <t>S290</t>
  </si>
  <si>
    <t>Shailesh Menon</t>
  </si>
  <si>
    <t>S291</t>
  </si>
  <si>
    <t>Kamal Kapoor</t>
  </si>
  <si>
    <t>S292</t>
  </si>
  <si>
    <t>Parvesh Singh</t>
  </si>
  <si>
    <t>S293</t>
  </si>
  <si>
    <t>Chandan Bhatia</t>
  </si>
  <si>
    <t>S294</t>
  </si>
  <si>
    <t>Alok Verma</t>
  </si>
  <si>
    <t>S295</t>
  </si>
  <si>
    <t>Kiran Joshi</t>
  </si>
  <si>
    <t>S296</t>
  </si>
  <si>
    <t>Shivam Malhotra</t>
  </si>
  <si>
    <t>S297</t>
  </si>
  <si>
    <t>Subhash Kulkarni</t>
  </si>
  <si>
    <t>S298</t>
  </si>
  <si>
    <t>Pranesh Rao</t>
  </si>
  <si>
    <t>S299</t>
  </si>
  <si>
    <t>Ajinkya Patel</t>
  </si>
  <si>
    <t>S300</t>
  </si>
  <si>
    <t>Gaurav Shetty</t>
  </si>
  <si>
    <t>S301</t>
  </si>
  <si>
    <t>Rohit Choudhury</t>
  </si>
  <si>
    <t>S302</t>
  </si>
  <si>
    <t>Mitesh Das</t>
  </si>
  <si>
    <t>S303</t>
  </si>
  <si>
    <t>Niranjan Gupta</t>
  </si>
  <si>
    <t>S304</t>
  </si>
  <si>
    <t>Abid Hussain</t>
  </si>
  <si>
    <t>S305</t>
  </si>
  <si>
    <t>Hemendra Nair</t>
  </si>
  <si>
    <t>S306</t>
  </si>
  <si>
    <t>Tejas Sharma</t>
  </si>
  <si>
    <t>S307</t>
  </si>
  <si>
    <t>Faisal Khan</t>
  </si>
  <si>
    <t>S308</t>
  </si>
  <si>
    <t>Adarsh Mehta</t>
  </si>
  <si>
    <t>S309</t>
  </si>
  <si>
    <t>Nandan Reddy</t>
  </si>
  <si>
    <t>S310</t>
  </si>
  <si>
    <t>Balram Iyer</t>
  </si>
  <si>
    <t>S311</t>
  </si>
  <si>
    <t>Keshav Kapoor</t>
  </si>
  <si>
    <t>S312</t>
  </si>
  <si>
    <t>Amarjeet Singh</t>
  </si>
  <si>
    <t>S313</t>
  </si>
  <si>
    <t>Jitendra Bhatia</t>
  </si>
  <si>
    <t>S314</t>
  </si>
  <si>
    <t>Alisha Sharma</t>
  </si>
  <si>
    <t>S315</t>
  </si>
  <si>
    <t>Rehana Khan</t>
  </si>
  <si>
    <t>S316</t>
  </si>
  <si>
    <t>Sneha Mehta</t>
  </si>
  <si>
    <t>S317</t>
  </si>
  <si>
    <t>Madhura Reddy</t>
  </si>
  <si>
    <t>S318</t>
  </si>
  <si>
    <t>Parvathi Iyer</t>
  </si>
  <si>
    <t>S319</t>
  </si>
  <si>
    <t>Shobha Nair</t>
  </si>
  <si>
    <t>S320</t>
  </si>
  <si>
    <t>Kajal Kapoor</t>
  </si>
  <si>
    <t>S321</t>
  </si>
  <si>
    <t>Geeta Singh</t>
  </si>
  <si>
    <t>S322</t>
  </si>
  <si>
    <t>Fatima Banu</t>
  </si>
  <si>
    <t>S323</t>
  </si>
  <si>
    <t>Shweta Verma</t>
  </si>
  <si>
    <t>S324</t>
  </si>
  <si>
    <t>Veena Joshi</t>
  </si>
  <si>
    <t>S325</t>
  </si>
  <si>
    <t>Namrata Malhotra</t>
  </si>
  <si>
    <t>S326</t>
  </si>
  <si>
    <t>Devanshi Kulkarni</t>
  </si>
  <si>
    <t>S327</t>
  </si>
  <si>
    <t>Sudha Rao</t>
  </si>
  <si>
    <t>S328</t>
  </si>
  <si>
    <t>Priyadarshini Patel</t>
  </si>
  <si>
    <t>S329</t>
  </si>
  <si>
    <t>Jaya Das</t>
  </si>
  <si>
    <t>S330</t>
  </si>
  <si>
    <t>Hema Shetty</t>
  </si>
  <si>
    <t>S331</t>
  </si>
  <si>
    <t>Nafisa Khan</t>
  </si>
  <si>
    <t>S332</t>
  </si>
  <si>
    <t>Charu Choudhury</t>
  </si>
  <si>
    <t>S333</t>
  </si>
  <si>
    <t>Savitha Gupta</t>
  </si>
  <si>
    <t>S334</t>
  </si>
  <si>
    <t>Kavitha Nair</t>
  </si>
  <si>
    <t>S335</t>
  </si>
  <si>
    <t>Rupa Sharma</t>
  </si>
  <si>
    <t>S336</t>
  </si>
  <si>
    <t>Zoya Mehta</t>
  </si>
  <si>
    <t>S337</t>
  </si>
  <si>
    <t>Harini Reddy</t>
  </si>
  <si>
    <t>S338</t>
  </si>
  <si>
    <t>Ishika Iyer</t>
  </si>
  <si>
    <t>S339</t>
  </si>
  <si>
    <t>Shalini Kapoor</t>
  </si>
  <si>
    <t>S340</t>
  </si>
  <si>
    <t>Rupali Singh</t>
  </si>
  <si>
    <t>S341</t>
  </si>
  <si>
    <t>Aafreen Khan</t>
  </si>
  <si>
    <t>S342</t>
  </si>
  <si>
    <t>Gitanjali Bhatia</t>
  </si>
  <si>
    <t>S343</t>
  </si>
  <si>
    <t>Laxmi Verma</t>
  </si>
  <si>
    <t>S344</t>
  </si>
  <si>
    <t>Ranjana Joshi</t>
  </si>
  <si>
    <t>S345</t>
  </si>
  <si>
    <t>Smita Malhotra</t>
  </si>
  <si>
    <t>S346</t>
  </si>
  <si>
    <t>Manjula Kulkarni</t>
  </si>
  <si>
    <t>S347</t>
  </si>
  <si>
    <t>Sumathi Rao</t>
  </si>
  <si>
    <t>S348</t>
  </si>
  <si>
    <t>Bhavana Patel</t>
  </si>
  <si>
    <t>S349</t>
  </si>
  <si>
    <t>Aparna Shetty</t>
  </si>
  <si>
    <t>S350</t>
  </si>
  <si>
    <t>Khushboo Choudhury</t>
  </si>
  <si>
    <t>S351</t>
  </si>
  <si>
    <t>Meher Gupta</t>
  </si>
  <si>
    <t>S352</t>
  </si>
  <si>
    <t>Radha Nair</t>
  </si>
  <si>
    <t>S353</t>
  </si>
  <si>
    <t>Shreya Sharma</t>
  </si>
  <si>
    <t>S354</t>
  </si>
  <si>
    <t>Aaliya Khan</t>
  </si>
  <si>
    <t>S355</t>
  </si>
  <si>
    <t>Anushree Mehta</t>
  </si>
  <si>
    <t>S356</t>
  </si>
  <si>
    <t>Yamini Reddy</t>
  </si>
  <si>
    <t>S357</t>
  </si>
  <si>
    <t>Janani Iyer</t>
  </si>
  <si>
    <t>S358</t>
  </si>
  <si>
    <t>Poonam Kapoor</t>
  </si>
  <si>
    <t>S359</t>
  </si>
  <si>
    <t>Malathi Singh</t>
  </si>
  <si>
    <t>S360</t>
  </si>
  <si>
    <t>Tasneem Banu</t>
  </si>
  <si>
    <t>S361</t>
  </si>
  <si>
    <t>Ritika Verma</t>
  </si>
  <si>
    <t>S362</t>
  </si>
  <si>
    <t>Sushila Joshi</t>
  </si>
  <si>
    <t>S363</t>
  </si>
  <si>
    <t>Amrita Malhotra</t>
  </si>
  <si>
    <t>S364</t>
  </si>
  <si>
    <t>Rajat Sharma</t>
  </si>
  <si>
    <t>S365</t>
  </si>
  <si>
    <t>Salman Khan</t>
  </si>
  <si>
    <t>S366</t>
  </si>
  <si>
    <t>Praveen Mehta</t>
  </si>
  <si>
    <t>S367</t>
  </si>
  <si>
    <t>Lokesh Reddy</t>
  </si>
  <si>
    <t>S368</t>
  </si>
  <si>
    <t>Karthikeyan Iyer</t>
  </si>
  <si>
    <t>S369</t>
  </si>
  <si>
    <t>Biju Nair</t>
  </si>
  <si>
    <t>S370</t>
  </si>
  <si>
    <t>Tarun Kapoor</t>
  </si>
  <si>
    <t>S371</t>
  </si>
  <si>
    <t>Harjit Singh</t>
  </si>
  <si>
    <t>S372</t>
  </si>
  <si>
    <t>Rafiq Ansari</t>
  </si>
  <si>
    <t>S373</t>
  </si>
  <si>
    <t>Nitin Bhatia</t>
  </si>
  <si>
    <t>S374</t>
  </si>
  <si>
    <t>Uday Verma</t>
  </si>
  <si>
    <t>S375</t>
  </si>
  <si>
    <t>Devendra Joshi</t>
  </si>
  <si>
    <t>S376</t>
  </si>
  <si>
    <t>Rameshwar Das</t>
  </si>
  <si>
    <t>S377</t>
  </si>
  <si>
    <t>Satyendra Malhotra</t>
  </si>
  <si>
    <t>S378</t>
  </si>
  <si>
    <t>Mohit Kulkarni</t>
  </si>
  <si>
    <t>S379</t>
  </si>
  <si>
    <t>Vignesh Rao</t>
  </si>
  <si>
    <t>S380</t>
  </si>
  <si>
    <t>Chirag Patel</t>
  </si>
  <si>
    <t>S381</t>
  </si>
  <si>
    <t>Rajeev Shetty</t>
  </si>
  <si>
    <t>S382</t>
  </si>
  <si>
    <t>Sunil Choudhury</t>
  </si>
  <si>
    <t>S383</t>
  </si>
  <si>
    <t>Anil Gupta</t>
  </si>
  <si>
    <t>S384</t>
  </si>
  <si>
    <t>Abhisar Nair</t>
  </si>
  <si>
    <t>S385</t>
  </si>
  <si>
    <t>Danish Khan</t>
  </si>
  <si>
    <t>S386</t>
  </si>
  <si>
    <t>Hemant Sharma</t>
  </si>
  <si>
    <t>S387</t>
  </si>
  <si>
    <t>Shafiq Malik</t>
  </si>
  <si>
    <t>S388</t>
  </si>
  <si>
    <t>Jignesh Mehta</t>
  </si>
  <si>
    <t>S389</t>
  </si>
  <si>
    <t>Varadarajan Reddy</t>
  </si>
  <si>
    <t>S390</t>
  </si>
  <si>
    <t>Srinivasan Iyer</t>
  </si>
  <si>
    <t>S391</t>
  </si>
  <si>
    <t>Shyam Menon</t>
  </si>
  <si>
    <t>S392</t>
  </si>
  <si>
    <t>Pratap Kapoor</t>
  </si>
  <si>
    <t>S393</t>
  </si>
  <si>
    <t>Virendra Singh</t>
  </si>
  <si>
    <t>S394</t>
  </si>
  <si>
    <t>Sahil Bhatia</t>
  </si>
  <si>
    <t>S395</t>
  </si>
  <si>
    <t>Yatin Verma</t>
  </si>
  <si>
    <t>S396</t>
  </si>
  <si>
    <t>Gopal Joshi</t>
  </si>
  <si>
    <t>S397</t>
  </si>
  <si>
    <t>Dilip Malhotra</t>
  </si>
  <si>
    <t>S398</t>
  </si>
  <si>
    <t>Anant Kulkarni</t>
  </si>
  <si>
    <t>S399</t>
  </si>
  <si>
    <t>Rohan Rao</t>
  </si>
  <si>
    <t>S400</t>
  </si>
  <si>
    <t>Milan Patel</t>
  </si>
  <si>
    <t>S401</t>
  </si>
  <si>
    <t>Ajay Shetty</t>
  </si>
  <si>
    <t>S402</t>
  </si>
  <si>
    <t>Harshad Choudhury</t>
  </si>
  <si>
    <t>S403</t>
  </si>
  <si>
    <t>Prakash Das</t>
  </si>
  <si>
    <t>S404</t>
  </si>
  <si>
    <t>Nirmesh Gupta</t>
  </si>
  <si>
    <t>S405</t>
  </si>
  <si>
    <t>Pradyumn Nair</t>
  </si>
  <si>
    <t>S406</t>
  </si>
  <si>
    <t>Arman Sharma</t>
  </si>
  <si>
    <t>S407</t>
  </si>
  <si>
    <t>Kareem Khan</t>
  </si>
  <si>
    <t>S408</t>
  </si>
  <si>
    <t>Vipul Mehta</t>
  </si>
  <si>
    <t>S409</t>
  </si>
  <si>
    <t>Sidharth Reddy</t>
  </si>
  <si>
    <t>S410</t>
  </si>
  <si>
    <t>Narayan Iyer</t>
  </si>
  <si>
    <t>S411</t>
  </si>
  <si>
    <t>Balaraj Menon</t>
  </si>
  <si>
    <t>S412</t>
  </si>
  <si>
    <t>Manohar Kapoor</t>
  </si>
  <si>
    <t>S413</t>
  </si>
  <si>
    <t>Tejinder Singh</t>
  </si>
  <si>
    <t>S414</t>
  </si>
  <si>
    <t>Madhavi Sharma</t>
  </si>
  <si>
    <t>S415</t>
  </si>
  <si>
    <t>Sana Khan</t>
  </si>
  <si>
    <t>S416</t>
  </si>
  <si>
    <t>Nandita Mehta</t>
  </si>
  <si>
    <t>S417</t>
  </si>
  <si>
    <t>Keerthi Reddy</t>
  </si>
  <si>
    <t>S418</t>
  </si>
  <si>
    <t>Indira Iyer</t>
  </si>
  <si>
    <t>S419</t>
  </si>
  <si>
    <t>Anjana Nair</t>
  </si>
  <si>
    <t>S420</t>
  </si>
  <si>
    <t>Sonali Kapoor</t>
  </si>
  <si>
    <t>S421</t>
  </si>
  <si>
    <t>Harpreet Kaur</t>
  </si>
  <si>
    <t>S422</t>
  </si>
  <si>
    <t>Mariam Banu</t>
  </si>
  <si>
    <t>S423</t>
  </si>
  <si>
    <t>Chaitali Verma</t>
  </si>
  <si>
    <t>S424</t>
  </si>
  <si>
    <t>Poornima Joshi</t>
  </si>
  <si>
    <t>S425</t>
  </si>
  <si>
    <t>Asha Malhotra</t>
  </si>
  <si>
    <t>S426</t>
  </si>
  <si>
    <t>Sharanya Kulkarni</t>
  </si>
  <si>
    <t>S427</t>
  </si>
  <si>
    <t>Revathi Rao</t>
  </si>
  <si>
    <t>S428</t>
  </si>
  <si>
    <t>Amisha Patel</t>
  </si>
  <si>
    <t>S429</t>
  </si>
  <si>
    <t>Aruna Das</t>
  </si>
  <si>
    <t>S430</t>
  </si>
  <si>
    <t>Neetu Shetty</t>
  </si>
  <si>
    <t>S431</t>
  </si>
  <si>
    <t>Rubina Khan</t>
  </si>
  <si>
    <t>S432</t>
  </si>
  <si>
    <t>Sanchita Choudhury</t>
  </si>
  <si>
    <t>S433</t>
  </si>
  <si>
    <t>Vidya Gupta</t>
  </si>
  <si>
    <t>S434</t>
  </si>
  <si>
    <t>Anupama Nair</t>
  </si>
  <si>
    <t>S435</t>
  </si>
  <si>
    <t>Laxmi Sharma</t>
  </si>
  <si>
    <t>S436</t>
  </si>
  <si>
    <t>Taslima Begum</t>
  </si>
  <si>
    <t>S437</t>
  </si>
  <si>
    <t>Ishwarya Mehta</t>
  </si>
  <si>
    <t>S438</t>
  </si>
  <si>
    <t>Deepthi Reddy</t>
  </si>
  <si>
    <t>S439</t>
  </si>
  <si>
    <t>Nirmala Iyer</t>
  </si>
  <si>
    <t>S440</t>
  </si>
  <si>
    <t>Rukmini Kapoor</t>
  </si>
  <si>
    <t>S441</t>
  </si>
  <si>
    <t>Jaspreet Kaur</t>
  </si>
  <si>
    <t>S442</t>
  </si>
  <si>
    <t>Humaira Khan</t>
  </si>
  <si>
    <t>S443</t>
  </si>
  <si>
    <t>Suchitra Bhatia</t>
  </si>
  <si>
    <t>S444</t>
  </si>
  <si>
    <t>Vandana Verma</t>
  </si>
  <si>
    <t>S445</t>
  </si>
  <si>
    <t>Apeksha Joshi</t>
  </si>
  <si>
    <t>S446</t>
  </si>
  <si>
    <t>Ritu Malhotra</t>
  </si>
  <si>
    <t>S447</t>
  </si>
  <si>
    <t>Gayathri Kulkarni</t>
  </si>
  <si>
    <t>S448</t>
  </si>
  <si>
    <t>Yamuna Rao</t>
  </si>
  <si>
    <t>S449</t>
  </si>
  <si>
    <t>Shobitha Patel</t>
  </si>
  <si>
    <t>S450</t>
  </si>
  <si>
    <t>Seher Ansari</t>
  </si>
  <si>
    <t>S451</t>
  </si>
  <si>
    <t>Archana Shetty</t>
  </si>
  <si>
    <t>S452</t>
  </si>
  <si>
    <t>Mridula Choudhury</t>
  </si>
  <si>
    <t>S453</t>
  </si>
  <si>
    <t>Kusum Gupta</t>
  </si>
  <si>
    <t>S454</t>
  </si>
  <si>
    <t>Vaidehi Nair</t>
  </si>
  <si>
    <t>S455</t>
  </si>
  <si>
    <t>Priti Sharma</t>
  </si>
  <si>
    <t>S456</t>
  </si>
  <si>
    <t>Hina Khan</t>
  </si>
  <si>
    <t>S457</t>
  </si>
  <si>
    <t>Sharmila Mehta</t>
  </si>
  <si>
    <t>S458</t>
  </si>
  <si>
    <t>Soumya Reddy</t>
  </si>
  <si>
    <t>S459</t>
  </si>
  <si>
    <t>Kalyani Iyer</t>
  </si>
  <si>
    <t>S460</t>
  </si>
  <si>
    <t>Rekha Kapoor</t>
  </si>
  <si>
    <t>S461</t>
  </si>
  <si>
    <t>Navpreet Kaur</t>
  </si>
  <si>
    <t>S462</t>
  </si>
  <si>
    <t>Zeenat Banu</t>
  </si>
  <si>
    <t>S463</t>
  </si>
  <si>
    <t>Aparajita Das</t>
  </si>
  <si>
    <t>Rank</t>
  </si>
  <si>
    <t>Allocation_Status</t>
  </si>
  <si>
    <t>Eligible</t>
  </si>
  <si>
    <t>Not Eligible</t>
  </si>
  <si>
    <t>SUM of Weighted_Score</t>
  </si>
  <si>
    <t>COUNTA of Student_ID</t>
  </si>
  <si>
    <t>Grand Total</t>
  </si>
  <si>
    <t xml:space="preserve">Total Students </t>
  </si>
  <si>
    <t>Eligible Students</t>
  </si>
  <si>
    <t>Allocated Students</t>
  </si>
  <si>
    <t>AVERAGE</t>
  </si>
  <si>
    <t>Variant</t>
  </si>
  <si>
    <t>Standard_Department</t>
  </si>
  <si>
    <t>Company</t>
  </si>
  <si>
    <t>Interview_Slots_Available</t>
  </si>
  <si>
    <t>Min_WeightedScore</t>
  </si>
  <si>
    <t>Min_Attendance_%</t>
  </si>
  <si>
    <t>Test</t>
  </si>
  <si>
    <t>Weight</t>
  </si>
  <si>
    <t>Test_1</t>
  </si>
  <si>
    <t>Test_2</t>
  </si>
  <si>
    <t>Test_3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</si>
</sst>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vs. Standardized_Department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Dashboard!$A$10:$A$14</c:f>
            </c:strRef>
          </c:cat>
          <c:val>
            <c:numRef>
              <c:f>Dashboard!$B$10:$B$14</c:f>
              <c:numCache/>
            </c:numRef>
          </c:val>
        </c:ser>
        <c:axId val="380285706"/>
        <c:axId val="1175311260"/>
      </c:barChart>
      <c:catAx>
        <c:axId val="380285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Best Performing Departments By Average Score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311260"/>
      </c:catAx>
      <c:valAx>
        <c:axId val="1175311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285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Company Preference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Dashboard!$B$24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Dashboard!$A$25:$A$29</c:f>
            </c:strRef>
          </c:cat>
          <c:val>
            <c:numRef>
              <c:f>Dashboard!$B$25:$B$29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7</xdr:row>
      <xdr:rowOff>57150</xdr:rowOff>
    </xdr:from>
    <xdr:ext cx="4962525" cy="2838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161925</xdr:colOff>
      <xdr:row>22</xdr:row>
      <xdr:rowOff>123825</xdr:rowOff>
    </xdr:from>
    <xdr:ext cx="5019675" cy="3095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464" sheet="Applicants_Raw"/>
  </cacheSource>
  <cacheFields>
    <cacheField name="Student_ID" numFmtId="0">
      <sharedItems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3"/>
        <s v="S214"/>
        <s v="S215"/>
        <s v="S216"/>
        <s v="S217"/>
        <s v="S218"/>
        <s v="S219"/>
        <s v="S220"/>
        <s v="S221"/>
        <s v="S222"/>
        <s v="S223"/>
        <s v="S224"/>
        <s v="S225"/>
        <s v="S226"/>
        <s v="S227"/>
        <s v="S228"/>
        <s v="S229"/>
        <s v="S230"/>
        <s v="S231"/>
        <s v="S232"/>
        <s v="S233"/>
        <s v="S234"/>
        <s v="S235"/>
        <s v="S236"/>
        <s v="S237"/>
        <s v="S238"/>
        <s v="S239"/>
        <s v="S240"/>
        <s v="S241"/>
        <s v="S242"/>
        <s v="S243"/>
        <s v="S244"/>
        <s v="S245"/>
        <s v="S246"/>
        <s v="S247"/>
        <s v="S248"/>
        <s v="S249"/>
        <s v="S250"/>
        <s v="S251"/>
        <s v="S252"/>
        <s v="S253"/>
        <s v="S254"/>
        <s v="S255"/>
        <s v="S256"/>
        <s v="S257"/>
        <s v="S258"/>
        <s v="S259"/>
        <s v="S260"/>
        <s v="S261"/>
        <s v="S262"/>
        <s v="S263"/>
        <s v="S264"/>
        <s v="S265"/>
        <s v="S266"/>
        <s v="S267"/>
        <s v="S268"/>
        <s v="S269"/>
        <s v="S270"/>
        <s v="S271"/>
        <s v="S272"/>
        <s v="S273"/>
        <s v="S274"/>
        <s v="S275"/>
        <s v="S276"/>
        <s v="S277"/>
        <s v="S278"/>
        <s v="S279"/>
        <s v="S280"/>
        <s v="S281"/>
        <s v="S282"/>
        <s v="S283"/>
        <s v="S284"/>
        <s v="S285"/>
        <s v="S286"/>
        <s v="S287"/>
        <s v="S288"/>
        <s v="S289"/>
        <s v="S290"/>
        <s v="S291"/>
        <s v="S292"/>
        <s v="S293"/>
        <s v="S294"/>
        <s v="S295"/>
        <s v="S296"/>
        <s v="S297"/>
        <s v="S298"/>
        <s v="S299"/>
        <s v="S300"/>
        <s v="S301"/>
        <s v="S302"/>
        <s v="S303"/>
        <s v="S304"/>
        <s v="S305"/>
        <s v="S306"/>
        <s v="S307"/>
        <s v="S308"/>
        <s v="S309"/>
        <s v="S310"/>
        <s v="S311"/>
        <s v="S312"/>
        <s v="S313"/>
        <s v="S314"/>
        <s v="S315"/>
        <s v="S316"/>
        <s v="S317"/>
        <s v="S318"/>
        <s v="S319"/>
        <s v="S320"/>
        <s v="S321"/>
        <s v="S322"/>
        <s v="S323"/>
        <s v="S324"/>
        <s v="S325"/>
        <s v="S326"/>
        <s v="S327"/>
        <s v="S328"/>
        <s v="S329"/>
        <s v="S330"/>
        <s v="S331"/>
        <s v="S332"/>
        <s v="S333"/>
        <s v="S334"/>
        <s v="S335"/>
        <s v="S336"/>
        <s v="S337"/>
        <s v="S338"/>
        <s v="S339"/>
        <s v="S340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62"/>
        <s v="S363"/>
        <s v="S364"/>
        <s v="S365"/>
        <s v="S366"/>
        <s v="S367"/>
        <s v="S368"/>
        <s v="S369"/>
        <s v="S370"/>
        <s v="S371"/>
        <s v="S372"/>
        <s v="S373"/>
        <s v="S374"/>
        <s v="S375"/>
        <s v="S376"/>
        <s v="S377"/>
        <s v="S378"/>
        <s v="S379"/>
        <s v="S380"/>
        <s v="S381"/>
        <s v="S382"/>
        <s v="S383"/>
        <s v="S384"/>
        <s v="S385"/>
        <s v="S386"/>
        <s v="S387"/>
        <s v="S388"/>
        <s v="S389"/>
        <s v="S390"/>
        <s v="S391"/>
        <s v="S392"/>
        <s v="S393"/>
        <s v="S394"/>
        <s v="S395"/>
        <s v="S396"/>
        <s v="S397"/>
        <s v="S398"/>
        <s v="S399"/>
        <s v="S400"/>
        <s v="S401"/>
        <s v="S402"/>
        <s v="S403"/>
        <s v="S404"/>
        <s v="S405"/>
        <s v="S406"/>
        <s v="S407"/>
        <s v="S408"/>
        <s v="S409"/>
        <s v="S410"/>
        <s v="S411"/>
        <s v="S412"/>
        <s v="S413"/>
        <s v="S414"/>
        <s v="S415"/>
        <s v="S416"/>
        <s v="S417"/>
        <s v="S418"/>
        <s v="S419"/>
        <s v="S420"/>
        <s v="S421"/>
        <s v="S422"/>
        <s v="S423"/>
        <s v="S424"/>
        <s v="S425"/>
        <s v="S426"/>
        <s v="S427"/>
        <s v="S428"/>
        <s v="S429"/>
        <s v="S430"/>
        <s v="S431"/>
        <s v="S432"/>
        <s v="S433"/>
        <s v="S434"/>
        <s v="S435"/>
        <s v="S436"/>
        <s v="S437"/>
        <s v="S438"/>
        <s v="S439"/>
        <s v="S440"/>
        <s v="S441"/>
        <s v="S442"/>
        <s v="S443"/>
        <s v="S444"/>
        <s v="S445"/>
        <s v="S446"/>
        <s v="S447"/>
        <s v="S448"/>
        <s v="S449"/>
        <s v="S450"/>
        <s v="S451"/>
        <s v="S452"/>
        <s v="S453"/>
        <s v="S454"/>
        <s v="S455"/>
        <s v="S456"/>
        <s v="S457"/>
        <s v="S458"/>
        <s v="S459"/>
        <s v="S460"/>
        <s v="S461"/>
        <s v="S462"/>
        <s v="S463"/>
      </sharedItems>
    </cacheField>
    <cacheField name="Name" numFmtId="0">
      <sharedItems>
        <s v="Aadhya Jain"/>
        <s v="Myra Chatterjee"/>
        <s v="Diya Gupta"/>
        <s v="Sai Agarwal"/>
        <s v="Anika Mukherjee"/>
        <s v="Krishna Agarwal"/>
        <s v="Ananya Mishra"/>
        <s v="Reyansh Chopra"/>
        <s v="Vihaan Singh"/>
        <s v="Ananya Mukherjee"/>
        <s v="Ananya Singh"/>
        <s v="Ananya Rao"/>
        <s v="Aarohi Jain"/>
        <s v="Navya Menon"/>
        <s v="Aarav Sharma"/>
        <s v="Rohan Mehta"/>
        <s v="Kabir Iyer"/>
        <s v="Vihaan Reddy"/>
        <s v="Sameer Deshmukh"/>
        <s v="Rajesh Nair"/>
        <s v="Anil Verma"/>
        <s v="Devendra Patel"/>
        <s v="Manish Gupta"/>
        <s v="Harsh Malhotra"/>
        <s v="Pranav Kulkarni"/>
        <s v="Karan Singh"/>
        <s v="Suresh Bhatia"/>
        <s v="Aditya Choudhury"/>
        <s v="Sanjay Kapoor"/>
        <s v="Naveen Menon"/>
        <s v="Gopal Das"/>
        <s v="Abhishek Joshi"/>
        <s v="Siddharth Rao"/>
        <s v="Vikram Shetty"/>
        <s v="Aisha Khan"/>
        <s v="Priya Sharma"/>
        <s v="Ananya Reddy"/>
        <s v="Lakshmi Nair"/>
        <s v="Kavya Iyer"/>
        <s v="Ritu Mehta"/>
        <s v="Sita Das"/>
        <s v="Meera Verma"/>
        <s v="Pooja Malhotra"/>
        <s v="Deepika Gupta"/>
        <s v="Shreya Choudhury"/>
        <s v="Radha Kulkarni"/>
        <s v="Sneha Patel"/>
        <s v="Neha Menon"/>
        <s v="Divya Kapoor"/>
        <s v="Nandini Shetty"/>
        <s v="Sunita Singh"/>
        <s v="Ishita Bhatia"/>
        <s v="Alka Joshi"/>
        <s v="Jaya Rao"/>
        <s v="Krishna Sharma"/>
        <s v="Arya Kapoor"/>
        <s v="Kiran Menon"/>
        <s v="Surya Patel"/>
        <s v="Chaitanya Rao"/>
        <s v="Gauri Nair"/>
        <s v="Anmol Gupta"/>
        <s v="Harini Iyer"/>
        <s v="Tanmay Kulkarni"/>
        <s v="Tejas Malhotra"/>
        <s v="Arvind Sharma"/>
        <s v="Rahul Mehta"/>
        <s v="Nikhil Reddy"/>
        <s v="Mohan Iyer"/>
        <s v="Ajay Menon"/>
        <s v="Vikas Kapoor"/>
        <s v="Ashok Nair"/>
        <s v="Rohit Singh"/>
        <s v="Tarun Bhatia"/>
        <s v="Amit Choudhury"/>
        <s v="Sandeep Joshi"/>
        <s v="Vinod Malhotra"/>
        <s v="Deepak Verma"/>
        <s v="Kunal Das"/>
        <s v="Anup Shetty"/>
        <s v="Pritam Rao"/>
        <s v="Ramesh Patel"/>
        <s v="Dinesh Kulkarni"/>
        <s v="Omkar Gupta"/>
        <s v="Yogesh Nair"/>
        <s v="Aarti Sharma"/>
        <s v="Jyoti Mehta"/>
        <s v="Pallavi Reddy"/>
        <s v="Rekha Iyer"/>
        <s v="Snehal Menon"/>
        <s v="Swati Kapoor"/>
        <s v="Vandana Nair"/>
        <s v="Leela Singh"/>
        <s v="Bhavna Bhatia"/>
        <s v="Kusum Choudhury"/>
        <s v="Roshni Joshi"/>
        <s v="Madhuri Malhotra"/>
        <s v="Kiran Verma"/>
        <s v="Sarita Das"/>
        <s v="Anushka Shetty"/>
        <s v="Malini Rao"/>
        <s v="Padma Patel"/>
        <s v="Sangeeta Kulkarni"/>
        <s v="Monika Gupta"/>
        <s v="Trisha Nair"/>
        <s v="Dev Sharma"/>
        <s v="Aryan Mehta"/>
        <s v="Aarohi Reddy"/>
        <s v="Charan Iyer"/>
        <s v="Simran Singh"/>
        <s v="Noor Khan"/>
        <s v="Ayaan Patel"/>
        <s v="Ruhi Malhotra"/>
        <s v="Veer Joshi"/>
        <s v="Tanishka Rao"/>
        <s v="Arun Sharma"/>
        <s v="Mohit Mehta"/>
        <s v="Siddhant Reddy"/>
        <s v="Ashwin Iyer"/>
        <s v="Rajiv Nair"/>
        <s v="Chetan Kapoor"/>
        <s v="Govind Singh"/>
        <s v="Prakash Bhatia"/>
        <s v="Lalit Verma"/>
        <s v="Armaan Joshi"/>
        <s v="Keshav Choudhury"/>
        <s v="Nitin Das"/>
        <s v="Harinder Malhotra"/>
        <s v="Jatin Kulkarni"/>
        <s v="Manoj Rao"/>
        <s v="Varun Shetty"/>
        <s v="Sunil Patel"/>
        <s v="Parth Menon"/>
        <s v="Raghav Gupta"/>
        <s v="Omprakash Nair"/>
        <s v="Kavitha Sharma"/>
        <s v="Anjali Mehta"/>
        <s v="Tanvi Reddy"/>
        <s v="Sushma Iyer"/>
        <s v="Nirmala Singh"/>
        <s v="Bhavya Kapoor"/>
        <s v="Reema Nair"/>
        <s v="Shalini Bhatia"/>
        <s v="Devika Verma"/>
        <s v="Komal Malhotra"/>
        <s v="Usha Joshi"/>
        <s v="Padmini Das"/>
        <s v="Ishwari Rao"/>
        <s v="Lata Kulkarni"/>
        <s v="Mridula Shetty"/>
        <s v="Charulata Patel"/>
        <s v="Seema Gupta"/>
        <s v="Madhavi Choudhury"/>
        <s v="Prerna Menon"/>
        <s v="Sonal Kapoor"/>
        <s v="Ayaan Sharma"/>
        <s v="Arya Mehta"/>
        <s v="Sai Reddy"/>
        <s v="Kaviraj Iyer"/>
        <s v="Simran Malhotra"/>
        <s v="Ishaan Joshi"/>
        <s v="Diya Singh"/>
        <s v="Ruhan Patel"/>
        <s v="Tia Verma"/>
        <s v="Aarohi Rao"/>
        <s v="Shyam Sharma"/>
        <s v="Nilesh Mehta"/>
        <s v="Vivek Reddy"/>
        <s v="Ajith Iyer"/>
        <s v="Harish Nair"/>
        <s v="Mahesh Kapoor"/>
        <s v="Pankaj Singh"/>
        <s v="Anupam Bhatia"/>
        <s v="Devesh Verma"/>
        <s v="Ranjit Joshi"/>
        <s v="Alok Choudhury"/>
        <s v="Suraj Das"/>
        <s v="Balaji Rao"/>
        <s v="Karthik Shetty"/>
        <s v="Akash Patel"/>
        <s v="Devraj Kulkarni"/>
        <s v="Saurabh Malhotra"/>
        <s v="Umesh Menon"/>
        <s v="Ritesh Gupta"/>
        <s v="Kartik Nair"/>
        <s v="Shankar Sharma"/>
        <s v="Ajmal Khan"/>
        <s v="Mukesh Mehta"/>
        <s v="Nirmal Reddy"/>
        <s v="Krishnan Iyer"/>
        <s v="Ashok Menon"/>
        <s v="Anirudh Rao"/>
        <s v="Vikash Kapoor"/>
        <s v="Raghunath Singh"/>
        <s v="Satyam Bhatia"/>
        <s v="Eshan Patel"/>
        <s v="Pradeep Choudhury"/>
        <s v="Lokesh Joshi"/>
        <s v="Yash Verma"/>
        <s v="Dheeraj Kulkarni"/>
        <s v="Manohar Das"/>
        <s v="Jeet Malhotra"/>
        <s v="Rajan Shetty"/>
        <s v="Santhosh Nair"/>
        <s v="Inderjit Sharma"/>
        <s v="Shaan Mehta"/>
        <s v="Irfan Khan"/>
        <s v="Om Nair"/>
        <s v="Abhay Gupta"/>
        <s v="Hemant Joshi"/>
        <s v="Piyush Verma"/>
        <s v="Surinder Singh"/>
        <s v="Ramesh Kapoor"/>
        <s v="Rohan Patel"/>
        <s v="Nikhilesh Rao"/>
        <s v="Radhika Sharma"/>
        <s v="Ayesha Khan"/>
        <s v="Shruti Mehta"/>
        <s v="Amrita Reddy"/>
        <s v="Meenakshi Iyer"/>
        <s v="Savita Nair"/>
        <s v="Nisha Kapoor"/>
        <s v="Leela Bhatia"/>
        <s v="Pallavi Singh"/>
        <s v="Purnima Verma"/>
        <s v="Madhavi Joshi"/>
        <s v="Rekha Malhotra"/>
        <s v="Sanjana Kulkarni"/>
        <s v="Anuradha Rao"/>
        <s v="Gayatri Patel"/>
        <s v="Bhavna Das"/>
        <s v="Supriya Menon"/>
        <s v="Anika Choudhury"/>
        <s v="Rupa Shetty"/>
        <s v="Farah Khan"/>
        <s v="Kusum Nair"/>
        <s v="Monica Gupta"/>
        <s v="Neelam Sharma"/>
        <s v="Karishma Mehta"/>
        <s v="Jhanvi Reddy"/>
        <s v="Mrinalini Iyer"/>
        <s v="Hemlata Kapoor"/>
        <s v="Roopa Singh"/>
        <s v="Chhaya Bhatia"/>
        <s v="Priyanka Verma"/>
        <s v="Kavitha Joshi"/>
        <s v="Nalini Malhotra"/>
        <s v="Tanushree Kulkarni"/>
        <s v="Deepa Rao"/>
        <s v="Swarnima Patel"/>
        <s v="Parveen Das"/>
        <s v="Aditi Shetty"/>
        <s v="Vaishali Nair"/>
        <s v="Snehal Gupta"/>
        <s v="Simran Kapoor"/>
        <s v="Archana Sharma"/>
        <s v="Sonia Mehta"/>
        <s v="Trupti Reddy"/>
        <s v="Lavanya Iyer"/>
        <s v="Pooja Singh"/>
        <s v="Anusha Verma"/>
        <s v="Manisha Malhotra"/>
        <s v="Chitra Kulkarni"/>
        <s v="Saira Banu"/>
        <s v="Vijay Sharma"/>
        <s v="Zubair Khan"/>
        <s v="Anshul Mehta"/>
        <s v="Arvind Reddy"/>
        <s v="Gokul Iyer"/>
        <s v="Sandeep Nair"/>
        <s v="Harpal Singh"/>
        <s v="Javed Malik"/>
        <s v="Tushar Kapoor"/>
        <s v="Kunal Bhatia"/>
        <s v="Shubham Verma"/>
        <s v="Amar Joshi"/>
        <s v="Mohanlal Das"/>
        <s v="Deepesh Malhotra"/>
        <s v="Sachin Kulkarni"/>
        <s v="Bharat Rao"/>
        <s v="Akhil Patel"/>
        <s v="Raghavendra Shetty"/>
        <s v="Yuvraj Choudhury"/>
        <s v="Ashutosh Gupta"/>
        <s v="Manjit Nair"/>
        <s v="Imran Khan"/>
        <s v="Dhananjay Sharma"/>
        <s v="Arpit Mehta"/>
        <s v="Santosh Reddy"/>
        <s v="Vishwanath Iyer"/>
        <s v="Shailesh Menon"/>
        <s v="Kamal Kapoor"/>
        <s v="Parvesh Singh"/>
        <s v="Chandan Bhatia"/>
        <s v="Alok Verma"/>
        <s v="Kiran Joshi"/>
        <s v="Shivam Malhotra"/>
        <s v="Subhash Kulkarni"/>
        <s v="Pranesh Rao"/>
        <s v="Ajinkya Patel"/>
        <s v="Gaurav Shetty"/>
        <s v="Rohit Choudhury"/>
        <s v="Mitesh Das"/>
        <s v="Niranjan Gupta"/>
        <s v="Abid Hussain"/>
        <s v="Hemendra Nair"/>
        <s v="Tejas Sharma"/>
        <s v="Faisal Khan"/>
        <s v="Adarsh Mehta"/>
        <s v="Nandan Reddy"/>
        <s v="Balram Iyer"/>
        <s v="Keshav Kapoor"/>
        <s v="Amarjeet Singh"/>
        <s v="Jitendra Bhatia"/>
        <s v="Alisha Sharma"/>
        <s v="Rehana Khan"/>
        <s v="Sneha Mehta"/>
        <s v="Madhura Reddy"/>
        <s v="Parvathi Iyer"/>
        <s v="Shobha Nair"/>
        <s v="Kajal Kapoor"/>
        <s v="Geeta Singh"/>
        <s v="Fatima Banu"/>
        <s v="Shweta Verma"/>
        <s v="Veena Joshi"/>
        <s v="Namrata Malhotra"/>
        <s v="Devanshi Kulkarni"/>
        <s v="Sudha Rao"/>
        <s v="Priyadarshini Patel"/>
        <s v="Jaya Das"/>
        <s v="Hema Shetty"/>
        <s v="Nafisa Khan"/>
        <s v="Charu Choudhury"/>
        <s v="Savitha Gupta"/>
        <s v="Kavitha Nair"/>
        <s v="Rupa Sharma"/>
        <s v="Zoya Mehta"/>
        <s v="Harini Reddy"/>
        <s v="Ishika Iyer"/>
        <s v="Shalini Kapoor"/>
        <s v="Rupali Singh"/>
        <s v="Aafreen Khan"/>
        <s v="Gitanjali Bhatia"/>
        <s v="Laxmi Verma"/>
        <s v="Ranjana Joshi"/>
        <s v="Smita Malhotra"/>
        <s v="Manjula Kulkarni"/>
        <s v="Sumathi Rao"/>
        <s v="Bhavana Patel"/>
        <s v="Aparna Shetty"/>
        <s v="Khushboo Choudhury"/>
        <s v="Meher Gupta"/>
        <s v="Radha Nair"/>
        <s v="Shreya Sharma"/>
        <s v="Aaliya Khan"/>
        <s v="Anushree Mehta"/>
        <s v="Yamini Reddy"/>
        <s v="Janani Iyer"/>
        <s v="Poonam Kapoor"/>
        <s v="Malathi Singh"/>
        <s v="Tasneem Banu"/>
        <s v="Ritika Verma"/>
        <s v="Sushila Joshi"/>
        <s v="Amrita Malhotra"/>
        <s v="Rajat Sharma"/>
        <s v="Salman Khan"/>
        <s v="Praveen Mehta"/>
        <s v="Lokesh Reddy"/>
        <s v="Karthikeyan Iyer"/>
        <s v="Biju Nair"/>
        <s v="Tarun Kapoor"/>
        <s v="Harjit Singh"/>
        <s v="Rafiq Ansari"/>
        <s v="Nitin Bhatia"/>
        <s v="Uday Verma"/>
        <s v="Devendra Joshi"/>
        <s v="Rameshwar Das"/>
        <s v="Satyendra Malhotra"/>
        <s v="Mohit Kulkarni"/>
        <s v="Vignesh Rao"/>
        <s v="Chirag Patel"/>
        <s v="Rajeev Shetty"/>
        <s v="Sunil Choudhury"/>
        <s v="Anil Gupta"/>
        <s v="Abhisar Nair"/>
        <s v="Danish Khan"/>
        <s v="Hemant Sharma"/>
        <s v="Shafiq Malik"/>
        <s v="Jignesh Mehta"/>
        <s v="Varadarajan Reddy"/>
        <s v="Srinivasan Iyer"/>
        <s v="Shyam Menon"/>
        <s v="Pratap Kapoor"/>
        <s v="Virendra Singh"/>
        <s v="Sahil Bhatia"/>
        <s v="Yatin Verma"/>
        <s v="Gopal Joshi"/>
        <s v="Dilip Malhotra"/>
        <s v="Anant Kulkarni"/>
        <s v="Rohan Rao"/>
        <s v="Milan Patel"/>
        <s v="Ajay Shetty"/>
        <s v="Harshad Choudhury"/>
        <s v="Prakash Das"/>
        <s v="Nirmesh Gupta"/>
        <s v="Pradyumn Nair"/>
        <s v="Arman Sharma"/>
        <s v="Kareem Khan"/>
        <s v="Vipul Mehta"/>
        <s v="Sidharth Reddy"/>
        <s v="Narayan Iyer"/>
        <s v="Balaraj Menon"/>
        <s v="Manohar Kapoor"/>
        <s v="Tejinder Singh"/>
        <s v="Madhavi Sharma"/>
        <s v="Sana Khan"/>
        <s v="Nandita Mehta"/>
        <s v="Keerthi Reddy"/>
        <s v="Indira Iyer"/>
        <s v="Anjana Nair"/>
        <s v="Sonali Kapoor"/>
        <s v="Harpreet Kaur"/>
        <s v="Mariam Banu"/>
        <s v="Chaitali Verma"/>
        <s v="Poornima Joshi"/>
        <s v="Asha Malhotra"/>
        <s v="Sharanya Kulkarni"/>
        <s v="Revathi Rao"/>
        <s v="Amisha Patel"/>
        <s v="Aruna Das"/>
        <s v="Neetu Shetty"/>
        <s v="Rubina Khan"/>
        <s v="Sanchita Choudhury"/>
        <s v="Vidya Gupta"/>
        <s v="Anupama Nair"/>
        <s v="Laxmi Sharma"/>
        <s v="Taslima Begum"/>
        <s v="Ishwarya Mehta"/>
        <s v="Deepthi Reddy"/>
        <s v="Nirmala Iyer"/>
        <s v="Rukmini Kapoor"/>
        <s v="Jaspreet Kaur"/>
        <s v="Humaira Khan"/>
        <s v="Suchitra Bhatia"/>
        <s v="Vandana Verma"/>
        <s v="Apeksha Joshi"/>
        <s v="Ritu Malhotra"/>
        <s v="Gayathri Kulkarni"/>
        <s v="Yamuna Rao"/>
        <s v="Shobitha Patel"/>
        <s v="Seher Ansari"/>
        <s v="Archana Shetty"/>
        <s v="Mridula Choudhury"/>
        <s v="Kusum Gupta"/>
        <s v="Vaidehi Nair"/>
        <s v="Priti Sharma"/>
        <s v="Hina Khan"/>
        <s v="Sharmila Mehta"/>
        <s v="Soumya Reddy"/>
        <s v="Kalyani Iyer"/>
        <s v="Rekha Kapoor"/>
        <s v="Navpreet Kaur"/>
        <s v="Zeenat Banu"/>
        <s v="Aparajita Das"/>
      </sharedItems>
    </cacheField>
    <cacheField name="Department" numFmtId="0">
      <sharedItems>
        <s v="CSE"/>
        <s v="Comp Sci"/>
        <s v="CS"/>
        <s v="Computer Science"/>
        <s v="ECE"/>
        <s v="Electro"/>
        <s v="ELEC"/>
        <s v="Electronics"/>
        <s v="Mech"/>
        <s v="ME"/>
        <s v="Mechanical Engg"/>
        <s v="Mechanical"/>
        <s v="CIV"/>
        <s v="Civil Engg"/>
        <s v="CE"/>
        <s v="Civil"/>
      </sharedItems>
    </cacheField>
    <cacheField name="Standardized_Department" numFmtId="164">
      <sharedItems>
        <s v="Computer Science"/>
        <s v="Electronics"/>
        <s v="Mechanical"/>
        <s v="Civil"/>
      </sharedItems>
    </cacheField>
    <cacheField name="Test_1_Score" numFmtId="0">
      <sharedItems containsSemiMixedTypes="0" containsString="0" containsNumber="1" containsInteger="1">
        <n v="75.0"/>
        <n v="66.0"/>
        <n v="98.0"/>
        <n v="96.0"/>
        <n v="78.0"/>
        <n v="80.0"/>
        <n v="91.0"/>
        <n v="77.0"/>
        <n v="93.0"/>
        <n v="97.0"/>
        <n v="83.0"/>
        <n v="60.0"/>
        <n v="73.0"/>
        <n v="63.0"/>
        <n v="82.0"/>
        <n v="84.0"/>
        <n v="79.0"/>
        <n v="92.0"/>
        <n v="69.0"/>
        <n v="56.0"/>
        <n v="87.0"/>
        <n v="95.0"/>
        <n v="67.0"/>
        <n v="57.0"/>
        <n v="70.0"/>
        <n v="64.0"/>
        <n v="61.0"/>
        <n v="81.0"/>
        <n v="65.0"/>
        <n v="72.0"/>
        <n v="59.0"/>
        <n v="90.0"/>
        <n v="76.0"/>
        <n v="68.0"/>
        <n v="94.0"/>
        <n v="88.0"/>
        <n v="71.0"/>
        <n v="89.0"/>
        <n v="74.0"/>
        <n v="58.0"/>
        <n v="86.0"/>
        <n v="85.0"/>
        <n v="55.0"/>
        <n v="62.0"/>
      </sharedItems>
    </cacheField>
    <cacheField name="Test_2_Score" numFmtId="0">
      <sharedItems containsSemiMixedTypes="0" containsString="0" containsNumber="1" containsInteger="1">
        <n v="59.0"/>
        <n v="75.0"/>
        <n v="67.0"/>
        <n v="69.0"/>
        <n v="91.0"/>
        <n v="63.0"/>
        <n v="93.0"/>
        <n v="90.0"/>
        <n v="73.0"/>
        <n v="78.0"/>
        <n v="62.0"/>
        <n v="57.0"/>
        <n v="61.0"/>
        <n v="87.0"/>
        <n v="84.0"/>
        <n v="92.0"/>
        <n v="71.0"/>
        <n v="70.0"/>
        <n v="79.0"/>
        <n v="56.0"/>
        <n v="95.0"/>
        <n v="74.0"/>
        <n v="55.0"/>
        <n v="85.0"/>
        <n v="76.0"/>
        <n v="72.0"/>
        <n v="86.0"/>
        <n v="64.0"/>
        <n v="60.0"/>
        <n v="65.0"/>
        <n v="96.0"/>
        <n v="98.0"/>
        <n v="81.0"/>
        <n v="77.0"/>
        <n v="88.0"/>
        <n v="68.0"/>
        <n v="66.0"/>
        <n v="83.0"/>
        <n v="58.0"/>
        <n v="82.0"/>
        <n v="89.0"/>
        <n v="97.0"/>
        <n v="80.0"/>
        <n v="94.0"/>
        <n v="99.0"/>
      </sharedItems>
    </cacheField>
    <cacheField name="Test_3_Score" numFmtId="0">
      <sharedItems containsSemiMixedTypes="0" containsString="0" containsNumber="1" containsInteger="1">
        <n v="65.0"/>
        <n v="70.0"/>
        <n v="82.0"/>
        <n v="76.0"/>
        <n v="96.0"/>
        <n v="85.0"/>
        <n v="89.0"/>
        <n v="88.0"/>
        <n v="62.0"/>
        <n v="91.0"/>
        <n v="90.0"/>
        <n v="97.0"/>
        <n v="87.0"/>
        <n v="80.0"/>
        <n v="64.0"/>
        <n v="66.0"/>
        <n v="95.0"/>
        <n v="75.0"/>
        <n v="86.0"/>
        <n v="93.0"/>
        <n v="71.0"/>
        <n v="63.0"/>
        <n v="92.0"/>
        <n v="83.0"/>
        <n v="57.0"/>
        <n v="81.0"/>
        <n v="74.0"/>
        <n v="55.0"/>
        <n v="98.0"/>
        <n v="78.0"/>
        <n v="68.0"/>
        <n v="61.0"/>
        <n v="84.0"/>
        <n v="69.0"/>
        <n v="94.0"/>
        <n v="67.0"/>
        <n v="59.0"/>
        <n v="77.0"/>
        <n v="73.0"/>
        <n v="72.0"/>
        <n v="56.0"/>
        <n v="58.0"/>
        <n v="60.0"/>
        <n v="79.0"/>
        <n v="100.0"/>
        <n v="99.0"/>
      </sharedItems>
    </cacheField>
    <cacheField name="Attendance_%" numFmtId="10">
      <sharedItems containsSemiMixedTypes="0" containsString="0" containsNumber="1">
        <n v="0.77"/>
        <n v="0.86"/>
        <n v="0.91"/>
        <n v="0.99"/>
        <n v="0.81"/>
        <n v="0.72"/>
        <n v="0.78"/>
        <n v="0.88"/>
        <n v="0.79"/>
        <n v="0.68"/>
        <n v="0.85"/>
        <n v="0.94"/>
        <n v="0.61"/>
        <n v="0.82"/>
        <n v="0.66"/>
        <n v="0.83"/>
        <n v="0.87"/>
        <n v="0.89"/>
        <n v="0.8"/>
        <n v="0.95"/>
        <n v="0.92"/>
        <n v="0.76"/>
        <n v="0.9"/>
        <n v="0.75"/>
        <n v="0.84"/>
        <n v="0.93"/>
      </sharedItems>
    </cacheField>
    <cacheField name="Application_Date" numFmtId="164">
      <sharedItems containsSemiMixedTypes="0" containsDate="1" containsString="0">
        <d v="2025-08-24T00:00:00Z"/>
        <d v="2025-06-08T00:00:00Z"/>
        <d v="2025-07-27T00:00:00Z"/>
        <d v="2025-09-15T00:00:00Z"/>
        <d v="2025-07-22T00:00:00Z"/>
        <d v="2025-08-03T00:00:00Z"/>
        <d v="2025-08-11T00:00:00Z"/>
        <d v="2025-08-05T00:00:00Z"/>
        <d v="2025-08-08T00:00:00Z"/>
        <d v="2025-09-13T00:00:00Z"/>
        <d v="2025-07-09T00:00:00Z"/>
        <d v="2025-07-28T00:00:00Z"/>
        <d v="2025-07-04T00:00:00Z"/>
        <d v="2025-08-18T00:00:00Z"/>
        <d v="2025-07-16T00:00:00Z"/>
        <d v="2025-09-19T00:00:00Z"/>
        <d v="2025-08-31T00:00:00Z"/>
        <d v="2025-08-01T00:00:00Z"/>
        <d v="2025-08-26T00:00:00Z"/>
        <d v="2025-08-13T00:00:00Z"/>
        <d v="2025-08-29T00:00:00Z"/>
        <d v="2025-07-31T00:00:00Z"/>
        <d v="2025-09-29T00:00:00Z"/>
        <d v="2025-08-09T00:00:00Z"/>
        <d v="2025-07-18T00:00:00Z"/>
        <d v="2025-08-20T00:00:00Z"/>
        <d v="2025-08-22T00:00:00Z"/>
        <d v="2025-08-10T00:00:00Z"/>
        <d v="2025-09-03T00:00:00Z"/>
        <d v="2025-08-12T00:00:00Z"/>
        <d v="2025-09-04T00:00:00Z"/>
        <d v="2025-09-02T00:00:00Z"/>
        <d v="2025-09-01T00:00:00Z"/>
        <d v="2025-07-29T00:00:00Z"/>
        <d v="2025-08-06T00:00:00Z"/>
        <d v="2025-07-05T00:00:00Z"/>
        <d v="2025-07-30T00:00:00Z"/>
        <d v="2025-07-20T00:00:00Z"/>
        <d v="2025-07-17T00:00:00Z"/>
        <d v="2025-09-21T00:00:00Z"/>
        <d v="2025-07-25T00:00:00Z"/>
        <d v="2025-10-01T00:00:00Z"/>
        <d v="2025-08-25T00:00:00Z"/>
        <d v="2025-08-14T00:00:00Z"/>
        <d v="2025-08-07T00:00:00Z"/>
        <d v="2025-08-28T00:00:00Z"/>
        <d v="2025-08-02T00:00:00Z"/>
        <d v="2025-08-21T00:00:00Z"/>
        <d v="2025-08-17T00:00:00Z"/>
        <d v="2025-08-23T00:00:00Z"/>
        <d v="2025-07-07T00:00:00Z"/>
        <d v="2025-08-15T00:00:00Z"/>
        <d v="2025-06-12T00:00:00Z"/>
        <d v="2025-08-16T00:00:00Z"/>
        <d v="2025-06-18T00:00:00Z"/>
      </sharedItems>
    </cacheField>
    <cacheField name="Internship_Pref" numFmtId="0">
      <sharedItems>
        <s v="Company C"/>
        <s v="Company B"/>
        <s v="Company D"/>
        <s v="Company A"/>
      </sharedItems>
    </cacheField>
    <cacheField name="Assignment_Completion_%" numFmtId="10">
      <sharedItems containsSemiMixedTypes="0" containsString="0" containsNumber="1">
        <n v="0.9"/>
        <n v="0.82"/>
        <n v="0.79"/>
        <n v="0.84"/>
        <n v="0.73"/>
        <n v="0.86"/>
        <n v="0.94"/>
        <n v="0.65"/>
        <n v="0.96"/>
        <n v="0.77"/>
        <n v="0.85"/>
        <n v="0.69"/>
        <n v="0.92"/>
        <n v="0.87"/>
        <n v="0.78"/>
        <n v="1.0"/>
        <n v="0.93"/>
        <n v="0.89"/>
        <n v="0.81"/>
        <n v="0.91"/>
        <n v="0.83"/>
        <n v="0.76"/>
        <n v="0.8"/>
        <n v="0.88"/>
        <n v="0.95"/>
        <n v="0.98"/>
        <n v="0.75"/>
        <n v="0.97"/>
        <n v="0.99"/>
      </sharedItems>
    </cacheField>
    <cacheField name="Weighted_Score" numFmtId="4">
      <sharedItems containsSemiMixedTypes="0" containsString="0" containsNumber="1">
        <n v="64.4"/>
        <n v="71.15"/>
        <n v="79.15"/>
        <n v="76.55"/>
        <n v="91.55"/>
        <n v="82.05"/>
        <n v="87.05"/>
        <n v="84.4"/>
        <n v="84.05"/>
        <n v="79.44999999999999"/>
        <n v="72.25"/>
        <n v="81.75"/>
        <n v="77.4"/>
        <n v="78.85"/>
        <n v="82.95"/>
        <n v="80.35"/>
        <n v="73.64999999999999"/>
        <n v="82.3"/>
        <n v="69.8"/>
        <n v="73.25"/>
        <n v="81.8"/>
        <n v="86.7"/>
        <n v="77.44999999999999"/>
        <n v="82.25"/>
        <n v="83.5"/>
        <n v="78.9"/>
        <n v="64.55"/>
        <n v="86.65"/>
        <n v="86.15"/>
        <n v="89.4"/>
        <n v="84.0"/>
        <n v="87.8"/>
        <n v="77.75"/>
        <n v="81.25"/>
        <n v="87.19999999999999"/>
        <n v="81.2"/>
        <n v="72.6"/>
        <n v="67.94999999999999"/>
        <n v="83.05"/>
        <n v="90.1"/>
        <n v="78.6"/>
        <n v="74.5"/>
        <n v="63.4"/>
        <n v="76.15"/>
        <n v="78.4"/>
        <n v="75.25"/>
        <n v="75.89999999999999"/>
        <n v="72.5"/>
        <n v="90.15"/>
        <n v="80.85"/>
        <n v="91.9"/>
        <n v="78.3"/>
        <n v="77.05"/>
        <n v="65.9"/>
        <n v="69.75"/>
        <n v="81.15"/>
        <n v="75.85"/>
        <n v="85.25"/>
        <n v="76.0"/>
        <n v="64.94999999999999"/>
        <n v="72.85"/>
        <n v="89.75"/>
        <n v="83.65"/>
        <n v="87.6"/>
        <n v="77.3"/>
        <n v="70.8"/>
        <n v="66.15"/>
        <n v="80.1"/>
        <n v="70.9"/>
        <n v="73.5"/>
        <n v="93.15"/>
        <n v="88.8"/>
        <n v="74.15"/>
        <n v="82.1"/>
        <n v="66.69999999999999"/>
        <n v="70.3"/>
        <n v="77.1"/>
        <n v="74.35"/>
        <n v="64.85"/>
        <n v="82.0"/>
        <n v="67.19999999999999"/>
        <n v="72.45"/>
        <n v="71.35"/>
        <n v="68.05"/>
        <n v="77.19999999999999"/>
        <n v="90.85"/>
        <n v="72.9"/>
        <n v="73.75"/>
        <n v="61.75"/>
        <n v="72.8"/>
        <n v="81.19999999999999"/>
        <n v="83.1"/>
        <n v="81.3"/>
        <n v="90.64999999999999"/>
        <n v="73.9"/>
        <n v="81.85"/>
        <n v="69.25"/>
        <n v="71.05"/>
        <n v="84.35"/>
        <n v="67.9"/>
        <n v="86.5"/>
        <n v="68.9"/>
        <n v="85.1"/>
        <n v="85.6"/>
        <n v="76.4"/>
        <n v="80.6"/>
        <n v="67.0"/>
        <n v="68.85"/>
        <n v="73.1"/>
        <n v="75.0"/>
        <n v="74.65"/>
        <n v="84.44999999999999"/>
        <n v="75.94999999999999"/>
        <n v="84.55"/>
        <n v="85.3"/>
        <n v="92.55"/>
        <n v="87.69999999999999"/>
        <n v="74.75"/>
        <n v="76.64999999999999"/>
        <n v="77.55"/>
        <n v="91.94999999999999"/>
        <n v="77.2"/>
        <n v="77.94999999999999"/>
        <n v="94.25"/>
        <n v="76.5"/>
        <n v="65.5"/>
        <n v="78.05"/>
        <n v="62.2"/>
        <n v="79.6"/>
        <n v="70.69999999999999"/>
        <n v="61.849999999999994"/>
        <n v="79.0"/>
        <n v="79.05"/>
        <n v="79.4"/>
        <n v="88.55"/>
        <n v="70.44999999999999"/>
        <n v="89.19999999999999"/>
        <n v="85.9"/>
        <n v="68.55"/>
        <n v="64.25"/>
        <n v="90.4"/>
        <n v="66.3"/>
        <n v="83.55"/>
        <n v="82.6"/>
        <n v="66.9"/>
        <n v="75.35"/>
        <n v="82.94999999999999"/>
        <n v="71.44999999999999"/>
        <n v="84.65"/>
        <n v="86.25"/>
        <n v="81.0"/>
        <n v="67.45"/>
        <n v="74.05"/>
        <n v="73.8"/>
        <n v="80.65"/>
        <n v="70.2"/>
        <n v="80.7"/>
        <n v="67.5"/>
        <n v="67.55"/>
        <n v="77.6"/>
        <n v="92.25"/>
        <n v="82.69999999999999"/>
        <n v="79.8"/>
        <n v="68.7"/>
        <n v="70.85"/>
        <n v="87.4"/>
        <n v="87.65"/>
        <n v="62.75"/>
        <n v="70.5"/>
        <n v="86.05"/>
        <n v="71.3"/>
        <n v="81.44999999999999"/>
        <n v="76.85"/>
        <n v="91.19999999999999"/>
        <n v="78.1"/>
        <n v="88.25"/>
        <n v="82.45"/>
        <n v="84.75"/>
        <n v="72.35"/>
        <n v="87.94999999999999"/>
        <n v="70.4"/>
        <n v="75.6"/>
        <n v="77.35"/>
        <n v="78.8"/>
        <n v="85.44999999999999"/>
        <n v="82.35"/>
        <n v="79.75"/>
        <n v="80.8"/>
        <n v="93.25"/>
        <n v="56.7"/>
        <n v="65.15"/>
        <n v="75.55"/>
        <n v="91.45"/>
        <n v="73.19999999999999"/>
        <n v="80.55"/>
        <n v="69.4"/>
        <n v="74.95"/>
        <n v="88.94999999999999"/>
        <n v="84.19999999999999"/>
        <n v="73.3"/>
        <n v="70.7"/>
        <n v="97.85"/>
        <n v="81.65"/>
        <n v="69.15"/>
        <n v="76.6"/>
        <n v="64.8"/>
        <n v="61.5"/>
        <n v="90.65"/>
        <n v="88.85"/>
        <n v="93.1"/>
        <n v="79.95"/>
        <n v="76.75"/>
        <n v="74.85"/>
        <n v="74.1"/>
        <n v="89.05"/>
        <n v="86.9"/>
        <n v="75.8"/>
        <n v="66.95"/>
        <n v="82.9"/>
        <n v="89.6"/>
        <n v="71.25"/>
        <n v="79.45"/>
        <n v="67.1"/>
        <n v="87.9"/>
        <n v="62.05"/>
        <n v="74.8"/>
        <n v="90.69999999999999"/>
        <n v="78.0"/>
        <n v="69.1"/>
        <n v="67.25"/>
        <n v="77.0"/>
        <n v="66.5"/>
        <n v="76.95"/>
        <n v="86.39999999999999"/>
        <n v="84.5"/>
        <n v="63.7"/>
        <n v="71.6"/>
        <n v="76.05"/>
        <n v="68.0"/>
        <n v="69.65"/>
        <n v="87.5"/>
        <n v="68.6"/>
        <n v="87.3"/>
        <n v="85.95"/>
        <n v="69.9"/>
        <n v="74.4"/>
        <n v="85.15"/>
        <n v="83.15"/>
        <n v="65.1"/>
        <n v="77.85"/>
        <n v="69.55"/>
        <n v="92.85"/>
        <n v="75.1"/>
        <n v="67.15"/>
        <n v="81.5"/>
        <n v="70.0"/>
        <n v="76.8"/>
        <n v="93.6"/>
        <n v="70.35"/>
        <n v="87.25"/>
        <n v="85.39999999999999"/>
        <n v="83.94999999999999"/>
        <n v="86.4"/>
        <n v="72.15"/>
        <n v="68.25"/>
        <n v="76.3"/>
        <n v="63.85"/>
        <n v="77.69999999999999"/>
        <n v="72.75"/>
        <n v="82.85"/>
        <n v="79.1"/>
        <n v="80.3"/>
        <n v="63.65"/>
        <n v="70.19999999999999"/>
        <n v="73.6"/>
        <n v="83.0"/>
        <n v="85.65"/>
        <n v="74.55"/>
        <n v="81.45"/>
        <n v="80.0"/>
        <n v="63.349999999999994"/>
        <n v="88.75"/>
        <n v="72.0"/>
        <n v="66.7"/>
        <n v="86.55"/>
        <n v="88.4"/>
        <n v="73.4"/>
        <n v="74.3"/>
        <n v="85.55"/>
        <n v="86.69999999999999"/>
        <n v="75.9"/>
        <n v="85.69999999999999"/>
        <n v="73.0"/>
        <n v="86.6"/>
        <n v="71.65"/>
        <n v="65.35"/>
        <n v="78.19999999999999"/>
        <n v="80.25"/>
        <n v="67.8"/>
        <n v="69.7"/>
        <n v="70.1"/>
        <n v="71.4"/>
        <n v="91.0"/>
        <n v="79.5"/>
        <n v="78.65"/>
        <n v="86.8"/>
        <n v="73.55"/>
        <n v="91.35"/>
        <n v="76.7"/>
        <n v="62.0"/>
        <n v="83.4"/>
        <n v="94.89999999999999"/>
        <n v="72.69999999999999"/>
        <n v="82.55"/>
        <n v="80.9"/>
        <n v="84.69999999999999"/>
        <n v="67.7"/>
        <n v="68.65"/>
        <n v="62.3"/>
        <n v="80.4"/>
        <n v="81.4"/>
        <n v="76.9"/>
        <n v="90.0"/>
        <n v="77.65"/>
        <n v="86.1"/>
        <n v="72.44999999999999"/>
        <n v="74.69999999999999"/>
        <n v="90.5"/>
        <n v="70.05"/>
        <n v="80.19999999999999"/>
        <n v="68.4"/>
      </sharedItems>
    </cacheField>
    <cacheField name="Eligibility_Status" numFmtId="0">
      <sharedItems>
        <s v="Eligible"/>
        <s v="Not Eligibl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1000" sheet="Applicants_Raw"/>
  </cacheSource>
  <cacheFields>
    <cacheField name="Student_ID" numFmtId="0">
      <sharedItems containsBlank="1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3"/>
        <s v="S214"/>
        <s v="S215"/>
        <s v="S216"/>
        <s v="S217"/>
        <s v="S218"/>
        <s v="S219"/>
        <s v="S220"/>
        <s v="S221"/>
        <s v="S222"/>
        <s v="S223"/>
        <s v="S224"/>
        <s v="S225"/>
        <s v="S226"/>
        <s v="S227"/>
        <s v="S228"/>
        <s v="S229"/>
        <s v="S230"/>
        <s v="S231"/>
        <s v="S232"/>
        <s v="S233"/>
        <s v="S234"/>
        <s v="S235"/>
        <s v="S236"/>
        <s v="S237"/>
        <s v="S238"/>
        <s v="S239"/>
        <s v="S240"/>
        <s v="S241"/>
        <s v="S242"/>
        <s v="S243"/>
        <s v="S244"/>
        <s v="S245"/>
        <s v="S246"/>
        <s v="S247"/>
        <s v="S248"/>
        <s v="S249"/>
        <s v="S250"/>
        <s v="S251"/>
        <s v="S252"/>
        <s v="S253"/>
        <s v="S254"/>
        <s v="S255"/>
        <s v="S256"/>
        <s v="S257"/>
        <s v="S258"/>
        <s v="S259"/>
        <s v="S260"/>
        <s v="S261"/>
        <s v="S262"/>
        <s v="S263"/>
        <s v="S264"/>
        <s v="S265"/>
        <s v="S266"/>
        <s v="S267"/>
        <s v="S268"/>
        <s v="S269"/>
        <s v="S270"/>
        <s v="S271"/>
        <s v="S272"/>
        <s v="S273"/>
        <s v="S274"/>
        <s v="S275"/>
        <s v="S276"/>
        <s v="S277"/>
        <s v="S278"/>
        <s v="S279"/>
        <s v="S280"/>
        <s v="S281"/>
        <s v="S282"/>
        <s v="S283"/>
        <s v="S284"/>
        <s v="S285"/>
        <s v="S286"/>
        <s v="S287"/>
        <s v="S288"/>
        <s v="S289"/>
        <s v="S290"/>
        <s v="S291"/>
        <s v="S292"/>
        <s v="S293"/>
        <s v="S294"/>
        <s v="S295"/>
        <s v="S296"/>
        <s v="S297"/>
        <s v="S298"/>
        <s v="S299"/>
        <s v="S300"/>
        <s v="S301"/>
        <s v="S302"/>
        <s v="S303"/>
        <s v="S304"/>
        <s v="S305"/>
        <s v="S306"/>
        <s v="S307"/>
        <s v="S308"/>
        <s v="S309"/>
        <s v="S310"/>
        <s v="S311"/>
        <s v="S312"/>
        <s v="S313"/>
        <s v="S314"/>
        <s v="S315"/>
        <s v="S316"/>
        <s v="S317"/>
        <s v="S318"/>
        <s v="S319"/>
        <s v="S320"/>
        <s v="S321"/>
        <s v="S322"/>
        <s v="S323"/>
        <s v="S324"/>
        <s v="S325"/>
        <s v="S326"/>
        <s v="S327"/>
        <s v="S328"/>
        <s v="S329"/>
        <s v="S330"/>
        <s v="S331"/>
        <s v="S332"/>
        <s v="S333"/>
        <s v="S334"/>
        <s v="S335"/>
        <s v="S336"/>
        <s v="S337"/>
        <s v="S338"/>
        <s v="S339"/>
        <s v="S340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62"/>
        <s v="S363"/>
        <s v="S364"/>
        <s v="S365"/>
        <s v="S366"/>
        <s v="S367"/>
        <s v="S368"/>
        <s v="S369"/>
        <s v="S370"/>
        <s v="S371"/>
        <s v="S372"/>
        <s v="S373"/>
        <s v="S374"/>
        <s v="S375"/>
        <s v="S376"/>
        <s v="S377"/>
        <s v="S378"/>
        <s v="S379"/>
        <s v="S380"/>
        <s v="S381"/>
        <s v="S382"/>
        <s v="S383"/>
        <s v="S384"/>
        <s v="S385"/>
        <s v="S386"/>
        <s v="S387"/>
        <s v="S388"/>
        <s v="S389"/>
        <s v="S390"/>
        <s v="S391"/>
        <s v="S392"/>
        <s v="S393"/>
        <s v="S394"/>
        <s v="S395"/>
        <s v="S396"/>
        <s v="S397"/>
        <s v="S398"/>
        <s v="S399"/>
        <s v="S400"/>
        <s v="S401"/>
        <s v="S402"/>
        <s v="S403"/>
        <s v="S404"/>
        <s v="S405"/>
        <s v="S406"/>
        <s v="S407"/>
        <s v="S408"/>
        <s v="S409"/>
        <s v="S410"/>
        <s v="S411"/>
        <s v="S412"/>
        <s v="S413"/>
        <s v="S414"/>
        <s v="S415"/>
        <s v="S416"/>
        <s v="S417"/>
        <s v="S418"/>
        <s v="S419"/>
        <s v="S420"/>
        <s v="S421"/>
        <s v="S422"/>
        <s v="S423"/>
        <s v="S424"/>
        <s v="S425"/>
        <s v="S426"/>
        <s v="S427"/>
        <s v="S428"/>
        <s v="S429"/>
        <s v="S430"/>
        <s v="S431"/>
        <s v="S432"/>
        <s v="S433"/>
        <s v="S434"/>
        <s v="S435"/>
        <s v="S436"/>
        <s v="S437"/>
        <s v="S438"/>
        <s v="S439"/>
        <s v="S440"/>
        <s v="S441"/>
        <s v="S442"/>
        <s v="S443"/>
        <s v="S444"/>
        <s v="S445"/>
        <s v="S446"/>
        <s v="S447"/>
        <s v="S448"/>
        <s v="S449"/>
        <s v="S450"/>
        <s v="S451"/>
        <s v="S452"/>
        <s v="S453"/>
        <s v="S454"/>
        <s v="S455"/>
        <s v="S456"/>
        <s v="S457"/>
        <s v="S458"/>
        <s v="S459"/>
        <s v="S460"/>
        <s v="S461"/>
        <s v="S462"/>
        <s v="S463"/>
        <m/>
      </sharedItems>
    </cacheField>
    <cacheField name="Name" numFmtId="0">
      <sharedItems containsBlank="1">
        <s v="Aadhya Jain"/>
        <s v="Myra Chatterjee"/>
        <s v="Diya Gupta"/>
        <s v="Sai Agarwal"/>
        <s v="Anika Mukherjee"/>
        <s v="Krishna Agarwal"/>
        <s v="Ananya Mishra"/>
        <s v="Reyansh Chopra"/>
        <s v="Vihaan Singh"/>
        <s v="Ananya Mukherjee"/>
        <s v="Ananya Singh"/>
        <s v="Ananya Rao"/>
        <s v="Aarohi Jain"/>
        <s v="Navya Menon"/>
        <s v="Aarav Sharma"/>
        <s v="Rohan Mehta"/>
        <s v="Kabir Iyer"/>
        <s v="Vihaan Reddy"/>
        <s v="Sameer Deshmukh"/>
        <s v="Rajesh Nair"/>
        <s v="Anil Verma"/>
        <s v="Devendra Patel"/>
        <s v="Manish Gupta"/>
        <s v="Harsh Malhotra"/>
        <s v="Pranav Kulkarni"/>
        <s v="Karan Singh"/>
        <s v="Suresh Bhatia"/>
        <s v="Aditya Choudhury"/>
        <s v="Sanjay Kapoor"/>
        <s v="Naveen Menon"/>
        <s v="Gopal Das"/>
        <s v="Abhishek Joshi"/>
        <s v="Siddharth Rao"/>
        <s v="Vikram Shetty"/>
        <s v="Aisha Khan"/>
        <s v="Priya Sharma"/>
        <s v="Ananya Reddy"/>
        <s v="Lakshmi Nair"/>
        <s v="Kavya Iyer"/>
        <s v="Ritu Mehta"/>
        <s v="Sita Das"/>
        <s v="Meera Verma"/>
        <s v="Pooja Malhotra"/>
        <s v="Deepika Gupta"/>
        <s v="Shreya Choudhury"/>
        <s v="Radha Kulkarni"/>
        <s v="Sneha Patel"/>
        <s v="Neha Menon"/>
        <s v="Divya Kapoor"/>
        <s v="Nandini Shetty"/>
        <s v="Sunita Singh"/>
        <s v="Ishita Bhatia"/>
        <s v="Alka Joshi"/>
        <s v="Jaya Rao"/>
        <s v="Krishna Sharma"/>
        <s v="Arya Kapoor"/>
        <s v="Kiran Menon"/>
        <s v="Surya Patel"/>
        <s v="Chaitanya Rao"/>
        <s v="Gauri Nair"/>
        <s v="Anmol Gupta"/>
        <s v="Harini Iyer"/>
        <s v="Tanmay Kulkarni"/>
        <s v="Tejas Malhotra"/>
        <s v="Arvind Sharma"/>
        <s v="Rahul Mehta"/>
        <s v="Nikhil Reddy"/>
        <s v="Mohan Iyer"/>
        <s v="Ajay Menon"/>
        <s v="Vikas Kapoor"/>
        <s v="Ashok Nair"/>
        <s v="Rohit Singh"/>
        <s v="Tarun Bhatia"/>
        <s v="Amit Choudhury"/>
        <s v="Sandeep Joshi"/>
        <s v="Vinod Malhotra"/>
        <s v="Deepak Verma"/>
        <s v="Kunal Das"/>
        <s v="Anup Shetty"/>
        <s v="Pritam Rao"/>
        <s v="Ramesh Patel"/>
        <s v="Dinesh Kulkarni"/>
        <s v="Omkar Gupta"/>
        <s v="Yogesh Nair"/>
        <s v="Aarti Sharma"/>
        <s v="Jyoti Mehta"/>
        <s v="Pallavi Reddy"/>
        <s v="Rekha Iyer"/>
        <s v="Snehal Menon"/>
        <s v="Swati Kapoor"/>
        <s v="Vandana Nair"/>
        <s v="Leela Singh"/>
        <s v="Bhavna Bhatia"/>
        <s v="Kusum Choudhury"/>
        <s v="Roshni Joshi"/>
        <s v="Madhuri Malhotra"/>
        <s v="Kiran Verma"/>
        <s v="Sarita Das"/>
        <s v="Anushka Shetty"/>
        <s v="Malini Rao"/>
        <s v="Padma Patel"/>
        <s v="Sangeeta Kulkarni"/>
        <s v="Monika Gupta"/>
        <s v="Trisha Nair"/>
        <s v="Dev Sharma"/>
        <s v="Aryan Mehta"/>
        <s v="Aarohi Reddy"/>
        <s v="Charan Iyer"/>
        <s v="Simran Singh"/>
        <s v="Noor Khan"/>
        <s v="Ayaan Patel"/>
        <s v="Ruhi Malhotra"/>
        <s v="Veer Joshi"/>
        <s v="Tanishka Rao"/>
        <s v="Arun Sharma"/>
        <s v="Mohit Mehta"/>
        <s v="Siddhant Reddy"/>
        <s v="Ashwin Iyer"/>
        <s v="Rajiv Nair"/>
        <s v="Chetan Kapoor"/>
        <s v="Govind Singh"/>
        <s v="Prakash Bhatia"/>
        <s v="Lalit Verma"/>
        <s v="Armaan Joshi"/>
        <s v="Keshav Choudhury"/>
        <s v="Nitin Das"/>
        <s v="Harinder Malhotra"/>
        <s v="Jatin Kulkarni"/>
        <s v="Manoj Rao"/>
        <s v="Varun Shetty"/>
        <s v="Sunil Patel"/>
        <s v="Parth Menon"/>
        <s v="Raghav Gupta"/>
        <s v="Omprakash Nair"/>
        <s v="Kavitha Sharma"/>
        <s v="Anjali Mehta"/>
        <s v="Tanvi Reddy"/>
        <s v="Sushma Iyer"/>
        <s v="Nirmala Singh"/>
        <s v="Bhavya Kapoor"/>
        <s v="Reema Nair"/>
        <s v="Shalini Bhatia"/>
        <s v="Devika Verma"/>
        <s v="Komal Malhotra"/>
        <s v="Usha Joshi"/>
        <s v="Padmini Das"/>
        <s v="Ishwari Rao"/>
        <s v="Lata Kulkarni"/>
        <s v="Mridula Shetty"/>
        <s v="Charulata Patel"/>
        <s v="Seema Gupta"/>
        <s v="Madhavi Choudhury"/>
        <s v="Prerna Menon"/>
        <s v="Sonal Kapoor"/>
        <s v="Ayaan Sharma"/>
        <s v="Arya Mehta"/>
        <s v="Sai Reddy"/>
        <s v="Kaviraj Iyer"/>
        <s v="Simran Malhotra"/>
        <s v="Ishaan Joshi"/>
        <s v="Diya Singh"/>
        <s v="Ruhan Patel"/>
        <s v="Tia Verma"/>
        <s v="Aarohi Rao"/>
        <s v="Shyam Sharma"/>
        <s v="Nilesh Mehta"/>
        <s v="Vivek Reddy"/>
        <s v="Ajith Iyer"/>
        <s v="Harish Nair"/>
        <s v="Mahesh Kapoor"/>
        <s v="Pankaj Singh"/>
        <s v="Anupam Bhatia"/>
        <s v="Devesh Verma"/>
        <s v="Ranjit Joshi"/>
        <s v="Alok Choudhury"/>
        <s v="Suraj Das"/>
        <s v="Balaji Rao"/>
        <s v="Karthik Shetty"/>
        <s v="Akash Patel"/>
        <s v="Devraj Kulkarni"/>
        <s v="Saurabh Malhotra"/>
        <s v="Umesh Menon"/>
        <s v="Ritesh Gupta"/>
        <s v="Kartik Nair"/>
        <s v="Shankar Sharma"/>
        <s v="Ajmal Khan"/>
        <s v="Mukesh Mehta"/>
        <s v="Nirmal Reddy"/>
        <s v="Krishnan Iyer"/>
        <s v="Ashok Menon"/>
        <s v="Anirudh Rao"/>
        <s v="Vikash Kapoor"/>
        <s v="Raghunath Singh"/>
        <s v="Satyam Bhatia"/>
        <s v="Eshan Patel"/>
        <s v="Pradeep Choudhury"/>
        <s v="Lokesh Joshi"/>
        <s v="Yash Verma"/>
        <s v="Dheeraj Kulkarni"/>
        <s v="Manohar Das"/>
        <s v="Jeet Malhotra"/>
        <s v="Rajan Shetty"/>
        <s v="Santhosh Nair"/>
        <s v="Inderjit Sharma"/>
        <s v="Shaan Mehta"/>
        <s v="Irfan Khan"/>
        <s v="Om Nair"/>
        <s v="Abhay Gupta"/>
        <s v="Hemant Joshi"/>
        <s v="Piyush Verma"/>
        <s v="Surinder Singh"/>
        <s v="Ramesh Kapoor"/>
        <s v="Rohan Patel"/>
        <s v="Nikhilesh Rao"/>
        <s v="Radhika Sharma"/>
        <s v="Ayesha Khan"/>
        <s v="Shruti Mehta"/>
        <s v="Amrita Reddy"/>
        <s v="Meenakshi Iyer"/>
        <s v="Savita Nair"/>
        <s v="Nisha Kapoor"/>
        <s v="Leela Bhatia"/>
        <s v="Pallavi Singh"/>
        <s v="Purnima Verma"/>
        <s v="Madhavi Joshi"/>
        <s v="Rekha Malhotra"/>
        <s v="Sanjana Kulkarni"/>
        <s v="Anuradha Rao"/>
        <s v="Gayatri Patel"/>
        <s v="Bhavna Das"/>
        <s v="Supriya Menon"/>
        <s v="Anika Choudhury"/>
        <s v="Rupa Shetty"/>
        <s v="Farah Khan"/>
        <s v="Kusum Nair"/>
        <s v="Monica Gupta"/>
        <s v="Neelam Sharma"/>
        <s v="Karishma Mehta"/>
        <s v="Jhanvi Reddy"/>
        <s v="Mrinalini Iyer"/>
        <s v="Hemlata Kapoor"/>
        <s v="Roopa Singh"/>
        <s v="Chhaya Bhatia"/>
        <s v="Priyanka Verma"/>
        <s v="Kavitha Joshi"/>
        <s v="Nalini Malhotra"/>
        <s v="Tanushree Kulkarni"/>
        <s v="Deepa Rao"/>
        <s v="Swarnima Patel"/>
        <s v="Parveen Das"/>
        <s v="Aditi Shetty"/>
        <s v="Vaishali Nair"/>
        <s v="Snehal Gupta"/>
        <s v="Simran Kapoor"/>
        <s v="Archana Sharma"/>
        <s v="Sonia Mehta"/>
        <s v="Trupti Reddy"/>
        <s v="Lavanya Iyer"/>
        <s v="Pooja Singh"/>
        <s v="Anusha Verma"/>
        <s v="Manisha Malhotra"/>
        <s v="Chitra Kulkarni"/>
        <s v="Saira Banu"/>
        <s v="Vijay Sharma"/>
        <s v="Zubair Khan"/>
        <s v="Anshul Mehta"/>
        <s v="Arvind Reddy"/>
        <s v="Gokul Iyer"/>
        <s v="Sandeep Nair"/>
        <s v="Harpal Singh"/>
        <s v="Javed Malik"/>
        <s v="Tushar Kapoor"/>
        <s v="Kunal Bhatia"/>
        <s v="Shubham Verma"/>
        <s v="Amar Joshi"/>
        <s v="Mohanlal Das"/>
        <s v="Deepesh Malhotra"/>
        <s v="Sachin Kulkarni"/>
        <s v="Bharat Rao"/>
        <s v="Akhil Patel"/>
        <s v="Raghavendra Shetty"/>
        <s v="Yuvraj Choudhury"/>
        <s v="Ashutosh Gupta"/>
        <s v="Manjit Nair"/>
        <s v="Imran Khan"/>
        <s v="Dhananjay Sharma"/>
        <s v="Arpit Mehta"/>
        <s v="Santosh Reddy"/>
        <s v="Vishwanath Iyer"/>
        <s v="Shailesh Menon"/>
        <s v="Kamal Kapoor"/>
        <s v="Parvesh Singh"/>
        <s v="Chandan Bhatia"/>
        <s v="Alok Verma"/>
        <s v="Kiran Joshi"/>
        <s v="Shivam Malhotra"/>
        <s v="Subhash Kulkarni"/>
        <s v="Pranesh Rao"/>
        <s v="Ajinkya Patel"/>
        <s v="Gaurav Shetty"/>
        <s v="Rohit Choudhury"/>
        <s v="Mitesh Das"/>
        <s v="Niranjan Gupta"/>
        <s v="Abid Hussain"/>
        <s v="Hemendra Nair"/>
        <s v="Tejas Sharma"/>
        <s v="Faisal Khan"/>
        <s v="Adarsh Mehta"/>
        <s v="Nandan Reddy"/>
        <s v="Balram Iyer"/>
        <s v="Keshav Kapoor"/>
        <s v="Amarjeet Singh"/>
        <s v="Jitendra Bhatia"/>
        <s v="Alisha Sharma"/>
        <s v="Rehana Khan"/>
        <s v="Sneha Mehta"/>
        <s v="Madhura Reddy"/>
        <s v="Parvathi Iyer"/>
        <s v="Shobha Nair"/>
        <s v="Kajal Kapoor"/>
        <s v="Geeta Singh"/>
        <s v="Fatima Banu"/>
        <s v="Shweta Verma"/>
        <s v="Veena Joshi"/>
        <s v="Namrata Malhotra"/>
        <s v="Devanshi Kulkarni"/>
        <s v="Sudha Rao"/>
        <s v="Priyadarshini Patel"/>
        <s v="Jaya Das"/>
        <s v="Hema Shetty"/>
        <s v="Nafisa Khan"/>
        <s v="Charu Choudhury"/>
        <s v="Savitha Gupta"/>
        <s v="Kavitha Nair"/>
        <s v="Rupa Sharma"/>
        <s v="Zoya Mehta"/>
        <s v="Harini Reddy"/>
        <s v="Ishika Iyer"/>
        <s v="Shalini Kapoor"/>
        <s v="Rupali Singh"/>
        <s v="Aafreen Khan"/>
        <s v="Gitanjali Bhatia"/>
        <s v="Laxmi Verma"/>
        <s v="Ranjana Joshi"/>
        <s v="Smita Malhotra"/>
        <s v="Manjula Kulkarni"/>
        <s v="Sumathi Rao"/>
        <s v="Bhavana Patel"/>
        <s v="Aparna Shetty"/>
        <s v="Khushboo Choudhury"/>
        <s v="Meher Gupta"/>
        <s v="Radha Nair"/>
        <s v="Shreya Sharma"/>
        <s v="Aaliya Khan"/>
        <s v="Anushree Mehta"/>
        <s v="Yamini Reddy"/>
        <s v="Janani Iyer"/>
        <s v="Poonam Kapoor"/>
        <s v="Malathi Singh"/>
        <s v="Tasneem Banu"/>
        <s v="Ritika Verma"/>
        <s v="Sushila Joshi"/>
        <s v="Amrita Malhotra"/>
        <s v="Rajat Sharma"/>
        <s v="Salman Khan"/>
        <s v="Praveen Mehta"/>
        <s v="Lokesh Reddy"/>
        <s v="Karthikeyan Iyer"/>
        <s v="Biju Nair"/>
        <s v="Tarun Kapoor"/>
        <s v="Harjit Singh"/>
        <s v="Rafiq Ansari"/>
        <s v="Nitin Bhatia"/>
        <s v="Uday Verma"/>
        <s v="Devendra Joshi"/>
        <s v="Rameshwar Das"/>
        <s v="Satyendra Malhotra"/>
        <s v="Mohit Kulkarni"/>
        <s v="Vignesh Rao"/>
        <s v="Chirag Patel"/>
        <s v="Rajeev Shetty"/>
        <s v="Sunil Choudhury"/>
        <s v="Anil Gupta"/>
        <s v="Abhisar Nair"/>
        <s v="Danish Khan"/>
        <s v="Hemant Sharma"/>
        <s v="Shafiq Malik"/>
        <s v="Jignesh Mehta"/>
        <s v="Varadarajan Reddy"/>
        <s v="Srinivasan Iyer"/>
        <s v="Shyam Menon"/>
        <s v="Pratap Kapoor"/>
        <s v="Virendra Singh"/>
        <s v="Sahil Bhatia"/>
        <s v="Yatin Verma"/>
        <s v="Gopal Joshi"/>
        <s v="Dilip Malhotra"/>
        <s v="Anant Kulkarni"/>
        <s v="Rohan Rao"/>
        <s v="Milan Patel"/>
        <s v="Ajay Shetty"/>
        <s v="Harshad Choudhury"/>
        <s v="Prakash Das"/>
        <s v="Nirmesh Gupta"/>
        <s v="Pradyumn Nair"/>
        <s v="Arman Sharma"/>
        <s v="Kareem Khan"/>
        <s v="Vipul Mehta"/>
        <s v="Sidharth Reddy"/>
        <s v="Narayan Iyer"/>
        <s v="Balaraj Menon"/>
        <s v="Manohar Kapoor"/>
        <s v="Tejinder Singh"/>
        <s v="Madhavi Sharma"/>
        <s v="Sana Khan"/>
        <s v="Nandita Mehta"/>
        <s v="Keerthi Reddy"/>
        <s v="Indira Iyer"/>
        <s v="Anjana Nair"/>
        <s v="Sonali Kapoor"/>
        <s v="Harpreet Kaur"/>
        <s v="Mariam Banu"/>
        <s v="Chaitali Verma"/>
        <s v="Poornima Joshi"/>
        <s v="Asha Malhotra"/>
        <s v="Sharanya Kulkarni"/>
        <s v="Revathi Rao"/>
        <s v="Amisha Patel"/>
        <s v="Aruna Das"/>
        <s v="Neetu Shetty"/>
        <s v="Rubina Khan"/>
        <s v="Sanchita Choudhury"/>
        <s v="Vidya Gupta"/>
        <s v="Anupama Nair"/>
        <s v="Laxmi Sharma"/>
        <s v="Taslima Begum"/>
        <s v="Ishwarya Mehta"/>
        <s v="Deepthi Reddy"/>
        <s v="Nirmala Iyer"/>
        <s v="Rukmini Kapoor"/>
        <s v="Jaspreet Kaur"/>
        <s v="Humaira Khan"/>
        <s v="Suchitra Bhatia"/>
        <s v="Vandana Verma"/>
        <s v="Apeksha Joshi"/>
        <s v="Ritu Malhotra"/>
        <s v="Gayathri Kulkarni"/>
        <s v="Yamuna Rao"/>
        <s v="Shobitha Patel"/>
        <s v="Seher Ansari"/>
        <s v="Archana Shetty"/>
        <s v="Mridula Choudhury"/>
        <s v="Kusum Gupta"/>
        <s v="Vaidehi Nair"/>
        <s v="Priti Sharma"/>
        <s v="Hina Khan"/>
        <s v="Sharmila Mehta"/>
        <s v="Soumya Reddy"/>
        <s v="Kalyani Iyer"/>
        <s v="Rekha Kapoor"/>
        <s v="Navpreet Kaur"/>
        <s v="Zeenat Banu"/>
        <s v="Aparajita Das"/>
        <m/>
      </sharedItems>
    </cacheField>
    <cacheField name="Department" numFmtId="0">
      <sharedItems containsBlank="1">
        <s v="CSE"/>
        <s v="Comp Sci"/>
        <s v="CS"/>
        <s v="Computer Science"/>
        <s v="ECE"/>
        <s v="Electro"/>
        <s v="ELEC"/>
        <s v="Electronics"/>
        <s v="Mech"/>
        <s v="ME"/>
        <s v="Mechanical Engg"/>
        <s v="Mechanical"/>
        <s v="CIV"/>
        <s v="Civil Engg"/>
        <s v="CE"/>
        <s v="Civil"/>
        <m/>
      </sharedItems>
    </cacheField>
    <cacheField name="Standardized_Department" numFmtId="164">
      <sharedItems containsBlank="1">
        <s v="Computer Science"/>
        <s v="Electronics"/>
        <s v="Mechanical"/>
        <s v="Civil"/>
        <m/>
      </sharedItems>
    </cacheField>
    <cacheField name="Test_1_Score" numFmtId="0">
      <sharedItems containsString="0" containsBlank="1" containsNumber="1" containsInteger="1">
        <n v="75.0"/>
        <n v="66.0"/>
        <n v="98.0"/>
        <n v="96.0"/>
        <n v="78.0"/>
        <n v="80.0"/>
        <n v="91.0"/>
        <n v="77.0"/>
        <n v="93.0"/>
        <n v="97.0"/>
        <n v="83.0"/>
        <n v="60.0"/>
        <n v="73.0"/>
        <n v="63.0"/>
        <n v="82.0"/>
        <n v="84.0"/>
        <n v="79.0"/>
        <n v="92.0"/>
        <n v="69.0"/>
        <n v="56.0"/>
        <n v="87.0"/>
        <n v="95.0"/>
        <n v="67.0"/>
        <n v="57.0"/>
        <n v="70.0"/>
        <n v="64.0"/>
        <n v="61.0"/>
        <n v="81.0"/>
        <n v="65.0"/>
        <n v="72.0"/>
        <n v="59.0"/>
        <n v="90.0"/>
        <n v="76.0"/>
        <n v="68.0"/>
        <n v="94.0"/>
        <n v="88.0"/>
        <n v="71.0"/>
        <n v="89.0"/>
        <n v="74.0"/>
        <n v="58.0"/>
        <n v="86.0"/>
        <n v="85.0"/>
        <n v="55.0"/>
        <n v="62.0"/>
        <m/>
      </sharedItems>
    </cacheField>
    <cacheField name="Test_2_Score" numFmtId="0">
      <sharedItems containsString="0" containsBlank="1" containsNumber="1" containsInteger="1">
        <n v="59.0"/>
        <n v="75.0"/>
        <n v="67.0"/>
        <n v="69.0"/>
        <n v="91.0"/>
        <n v="63.0"/>
        <n v="93.0"/>
        <n v="90.0"/>
        <n v="73.0"/>
        <n v="78.0"/>
        <n v="62.0"/>
        <n v="57.0"/>
        <n v="61.0"/>
        <n v="87.0"/>
        <n v="84.0"/>
        <n v="92.0"/>
        <n v="71.0"/>
        <n v="70.0"/>
        <n v="79.0"/>
        <n v="56.0"/>
        <n v="95.0"/>
        <n v="74.0"/>
        <n v="55.0"/>
        <n v="85.0"/>
        <n v="76.0"/>
        <n v="72.0"/>
        <n v="86.0"/>
        <n v="64.0"/>
        <n v="60.0"/>
        <n v="65.0"/>
        <n v="96.0"/>
        <n v="98.0"/>
        <n v="81.0"/>
        <n v="77.0"/>
        <n v="88.0"/>
        <n v="68.0"/>
        <n v="66.0"/>
        <n v="83.0"/>
        <n v="58.0"/>
        <n v="82.0"/>
        <n v="89.0"/>
        <n v="97.0"/>
        <n v="80.0"/>
        <n v="94.0"/>
        <n v="99.0"/>
        <m/>
      </sharedItems>
    </cacheField>
    <cacheField name="Test_3_Score" numFmtId="0">
      <sharedItems containsString="0" containsBlank="1" containsNumber="1" containsInteger="1">
        <n v="65.0"/>
        <n v="70.0"/>
        <n v="82.0"/>
        <n v="76.0"/>
        <n v="96.0"/>
        <n v="85.0"/>
        <n v="89.0"/>
        <n v="88.0"/>
        <n v="62.0"/>
        <n v="91.0"/>
        <n v="90.0"/>
        <n v="97.0"/>
        <n v="87.0"/>
        <n v="80.0"/>
        <n v="64.0"/>
        <n v="66.0"/>
        <n v="95.0"/>
        <n v="75.0"/>
        <n v="86.0"/>
        <n v="93.0"/>
        <n v="71.0"/>
        <n v="63.0"/>
        <n v="92.0"/>
        <n v="83.0"/>
        <n v="57.0"/>
        <n v="81.0"/>
        <n v="74.0"/>
        <n v="55.0"/>
        <n v="98.0"/>
        <n v="78.0"/>
        <n v="68.0"/>
        <n v="61.0"/>
        <n v="84.0"/>
        <n v="69.0"/>
        <n v="94.0"/>
        <n v="67.0"/>
        <n v="59.0"/>
        <n v="77.0"/>
        <n v="73.0"/>
        <n v="72.0"/>
        <n v="56.0"/>
        <n v="58.0"/>
        <n v="60.0"/>
        <n v="79.0"/>
        <n v="100.0"/>
        <n v="99.0"/>
        <m/>
      </sharedItems>
    </cacheField>
    <cacheField name="Attendance_%" numFmtId="10">
      <sharedItems containsString="0" containsBlank="1" containsNumber="1">
        <n v="0.77"/>
        <n v="0.86"/>
        <n v="0.91"/>
        <n v="0.99"/>
        <n v="0.81"/>
        <n v="0.72"/>
        <n v="0.78"/>
        <n v="0.88"/>
        <n v="0.79"/>
        <n v="0.68"/>
        <n v="0.85"/>
        <n v="0.94"/>
        <n v="0.61"/>
        <n v="0.82"/>
        <n v="0.66"/>
        <n v="0.83"/>
        <n v="0.87"/>
        <n v="0.89"/>
        <n v="0.8"/>
        <n v="0.95"/>
        <n v="0.92"/>
        <n v="0.76"/>
        <n v="0.9"/>
        <n v="0.75"/>
        <n v="0.84"/>
        <n v="0.93"/>
        <m/>
      </sharedItems>
    </cacheField>
    <cacheField name="Application_Date" numFmtId="164">
      <sharedItems containsDate="1" containsString="0" containsBlank="1">
        <d v="2025-08-24T00:00:00Z"/>
        <d v="2025-06-08T00:00:00Z"/>
        <d v="2025-07-27T00:00:00Z"/>
        <d v="2025-09-15T00:00:00Z"/>
        <d v="2025-07-22T00:00:00Z"/>
        <d v="2025-08-03T00:00:00Z"/>
        <d v="2025-08-11T00:00:00Z"/>
        <d v="2025-08-05T00:00:00Z"/>
        <d v="2025-08-08T00:00:00Z"/>
        <d v="2025-09-13T00:00:00Z"/>
        <d v="2025-07-09T00:00:00Z"/>
        <d v="2025-07-28T00:00:00Z"/>
        <d v="2025-07-04T00:00:00Z"/>
        <d v="2025-08-18T00:00:00Z"/>
        <d v="2025-07-16T00:00:00Z"/>
        <d v="2025-09-19T00:00:00Z"/>
        <d v="2025-08-31T00:00:00Z"/>
        <d v="2025-08-01T00:00:00Z"/>
        <d v="2025-08-26T00:00:00Z"/>
        <d v="2025-08-13T00:00:00Z"/>
        <d v="2025-08-29T00:00:00Z"/>
        <d v="2025-07-31T00:00:00Z"/>
        <d v="2025-09-29T00:00:00Z"/>
        <d v="2025-08-09T00:00:00Z"/>
        <d v="2025-07-18T00:00:00Z"/>
        <d v="2025-08-20T00:00:00Z"/>
        <d v="2025-08-22T00:00:00Z"/>
        <d v="2025-08-10T00:00:00Z"/>
        <d v="2025-09-03T00:00:00Z"/>
        <d v="2025-08-12T00:00:00Z"/>
        <d v="2025-09-04T00:00:00Z"/>
        <d v="2025-09-02T00:00:00Z"/>
        <d v="2025-09-01T00:00:00Z"/>
        <d v="2025-07-29T00:00:00Z"/>
        <d v="2025-08-06T00:00:00Z"/>
        <d v="2025-07-05T00:00:00Z"/>
        <d v="2025-07-30T00:00:00Z"/>
        <d v="2025-07-20T00:00:00Z"/>
        <d v="2025-07-17T00:00:00Z"/>
        <d v="2025-09-21T00:00:00Z"/>
        <d v="2025-07-25T00:00:00Z"/>
        <d v="2025-10-01T00:00:00Z"/>
        <d v="2025-08-25T00:00:00Z"/>
        <d v="2025-08-14T00:00:00Z"/>
        <d v="2025-08-07T00:00:00Z"/>
        <d v="2025-08-28T00:00:00Z"/>
        <d v="2025-08-02T00:00:00Z"/>
        <d v="2025-08-21T00:00:00Z"/>
        <d v="2025-08-17T00:00:00Z"/>
        <d v="2025-08-23T00:00:00Z"/>
        <d v="2025-07-07T00:00:00Z"/>
        <d v="2025-08-15T00:00:00Z"/>
        <d v="2025-06-12T00:00:00Z"/>
        <d v="2025-08-16T00:00:00Z"/>
        <d v="2025-06-18T00:00:00Z"/>
        <m/>
      </sharedItems>
    </cacheField>
    <cacheField name="Internship_Pref" numFmtId="0">
      <sharedItems containsBlank="1">
        <s v="Company C"/>
        <s v="Company B"/>
        <s v="Company D"/>
        <s v="Company A"/>
        <m/>
      </sharedItems>
    </cacheField>
    <cacheField name="Assignment_Completion_%" numFmtId="10">
      <sharedItems containsString="0" containsBlank="1" containsNumber="1">
        <n v="0.9"/>
        <n v="0.82"/>
        <n v="0.79"/>
        <n v="0.84"/>
        <n v="0.73"/>
        <n v="0.86"/>
        <n v="0.94"/>
        <n v="0.65"/>
        <n v="0.96"/>
        <n v="0.77"/>
        <n v="0.85"/>
        <n v="0.69"/>
        <n v="0.92"/>
        <n v="0.87"/>
        <n v="0.78"/>
        <n v="1.0"/>
        <n v="0.93"/>
        <n v="0.89"/>
        <n v="0.81"/>
        <n v="0.91"/>
        <n v="0.83"/>
        <n v="0.76"/>
        <n v="0.8"/>
        <n v="0.88"/>
        <n v="0.95"/>
        <n v="0.98"/>
        <n v="0.75"/>
        <n v="0.97"/>
        <n v="0.99"/>
        <m/>
      </sharedItems>
    </cacheField>
    <cacheField name="Weighted_Score" numFmtId="4">
      <sharedItems containsString="0" containsBlank="1" containsNumber="1">
        <n v="64.4"/>
        <n v="71.15"/>
        <n v="79.15"/>
        <n v="76.55"/>
        <n v="91.55"/>
        <n v="82.05"/>
        <n v="87.05"/>
        <n v="84.4"/>
        <n v="84.05"/>
        <n v="79.44999999999999"/>
        <n v="72.25"/>
        <n v="81.75"/>
        <n v="77.4"/>
        <n v="78.85"/>
        <n v="82.95"/>
        <n v="80.35"/>
        <n v="73.64999999999999"/>
        <n v="82.3"/>
        <n v="69.8"/>
        <n v="73.25"/>
        <n v="81.8"/>
        <n v="86.7"/>
        <n v="77.44999999999999"/>
        <n v="82.25"/>
        <n v="83.5"/>
        <n v="78.9"/>
        <n v="64.55"/>
        <n v="86.65"/>
        <n v="86.15"/>
        <n v="89.4"/>
        <n v="84.0"/>
        <n v="87.8"/>
        <n v="77.75"/>
        <n v="81.25"/>
        <n v="87.19999999999999"/>
        <n v="81.2"/>
        <n v="72.6"/>
        <n v="67.94999999999999"/>
        <n v="83.05"/>
        <n v="90.1"/>
        <n v="78.6"/>
        <n v="74.5"/>
        <n v="63.4"/>
        <n v="76.15"/>
        <n v="78.4"/>
        <n v="75.25"/>
        <n v="75.89999999999999"/>
        <n v="72.5"/>
        <n v="90.15"/>
        <n v="80.85"/>
        <n v="91.9"/>
        <n v="78.3"/>
        <n v="77.05"/>
        <n v="65.9"/>
        <n v="69.75"/>
        <n v="81.15"/>
        <n v="75.85"/>
        <n v="85.25"/>
        <n v="76.0"/>
        <n v="64.94999999999999"/>
        <n v="72.85"/>
        <n v="89.75"/>
        <n v="83.65"/>
        <n v="87.6"/>
        <n v="77.3"/>
        <n v="70.8"/>
        <n v="66.15"/>
        <n v="80.1"/>
        <n v="70.9"/>
        <n v="73.5"/>
        <n v="93.15"/>
        <n v="88.8"/>
        <n v="74.15"/>
        <n v="82.1"/>
        <n v="66.69999999999999"/>
        <n v="70.3"/>
        <n v="77.1"/>
        <n v="74.35"/>
        <n v="64.85"/>
        <n v="82.0"/>
        <n v="67.19999999999999"/>
        <n v="72.45"/>
        <n v="71.35"/>
        <n v="68.05"/>
        <n v="77.19999999999999"/>
        <n v="90.85"/>
        <n v="72.9"/>
        <n v="73.75"/>
        <n v="61.75"/>
        <n v="72.8"/>
        <n v="81.19999999999999"/>
        <n v="83.1"/>
        <n v="81.3"/>
        <n v="90.64999999999999"/>
        <n v="73.9"/>
        <n v="81.85"/>
        <n v="69.25"/>
        <n v="71.05"/>
        <n v="84.35"/>
        <n v="67.9"/>
        <n v="86.5"/>
        <n v="68.9"/>
        <n v="85.1"/>
        <n v="85.6"/>
        <n v="76.4"/>
        <n v="80.6"/>
        <n v="67.0"/>
        <n v="68.85"/>
        <n v="73.1"/>
        <n v="75.0"/>
        <n v="74.65"/>
        <n v="84.44999999999999"/>
        <n v="75.94999999999999"/>
        <n v="84.55"/>
        <n v="85.3"/>
        <n v="92.55"/>
        <n v="87.69999999999999"/>
        <n v="74.75"/>
        <n v="76.64999999999999"/>
        <n v="77.55"/>
        <n v="91.94999999999999"/>
        <n v="77.2"/>
        <n v="77.94999999999999"/>
        <n v="94.25"/>
        <n v="76.5"/>
        <n v="65.5"/>
        <n v="78.05"/>
        <n v="62.2"/>
        <n v="79.6"/>
        <n v="70.69999999999999"/>
        <n v="61.849999999999994"/>
        <n v="79.0"/>
        <n v="79.05"/>
        <n v="79.4"/>
        <n v="88.55"/>
        <n v="70.44999999999999"/>
        <n v="89.19999999999999"/>
        <n v="85.9"/>
        <n v="68.55"/>
        <n v="64.25"/>
        <n v="90.4"/>
        <n v="66.3"/>
        <n v="83.55"/>
        <n v="82.6"/>
        <n v="66.9"/>
        <n v="75.35"/>
        <n v="82.94999999999999"/>
        <n v="71.44999999999999"/>
        <n v="84.65"/>
        <n v="86.25"/>
        <n v="81.0"/>
        <n v="67.45"/>
        <n v="74.05"/>
        <n v="73.8"/>
        <n v="80.65"/>
        <n v="70.2"/>
        <n v="80.7"/>
        <n v="67.5"/>
        <n v="67.55"/>
        <n v="77.6"/>
        <n v="92.25"/>
        <n v="82.69999999999999"/>
        <n v="79.8"/>
        <n v="68.7"/>
        <n v="70.85"/>
        <n v="87.4"/>
        <n v="87.65"/>
        <n v="62.75"/>
        <n v="70.5"/>
        <n v="86.05"/>
        <n v="71.3"/>
        <n v="81.44999999999999"/>
        <n v="76.85"/>
        <n v="91.19999999999999"/>
        <n v="78.1"/>
        <n v="88.25"/>
        <n v="82.45"/>
        <n v="84.75"/>
        <n v="72.35"/>
        <n v="87.94999999999999"/>
        <n v="70.4"/>
        <n v="75.6"/>
        <n v="77.35"/>
        <n v="78.8"/>
        <n v="85.44999999999999"/>
        <n v="82.35"/>
        <n v="79.75"/>
        <n v="80.8"/>
        <n v="93.25"/>
        <n v="56.7"/>
        <n v="65.15"/>
        <n v="75.55"/>
        <n v="91.45"/>
        <n v="73.19999999999999"/>
        <n v="80.55"/>
        <n v="69.4"/>
        <n v="74.95"/>
        <n v="88.94999999999999"/>
        <n v="84.19999999999999"/>
        <n v="73.3"/>
        <n v="70.7"/>
        <n v="97.85"/>
        <n v="81.65"/>
        <n v="69.15"/>
        <n v="76.6"/>
        <n v="64.8"/>
        <n v="61.5"/>
        <n v="90.65"/>
        <n v="88.85"/>
        <n v="93.1"/>
        <n v="79.95"/>
        <n v="76.75"/>
        <n v="74.85"/>
        <n v="74.1"/>
        <n v="89.05"/>
        <n v="86.9"/>
        <n v="75.8"/>
        <n v="66.95"/>
        <n v="82.9"/>
        <n v="89.6"/>
        <n v="71.25"/>
        <n v="79.45"/>
        <n v="67.1"/>
        <n v="87.9"/>
        <n v="62.05"/>
        <n v="74.8"/>
        <n v="90.69999999999999"/>
        <n v="78.0"/>
        <n v="69.1"/>
        <n v="67.25"/>
        <n v="77.0"/>
        <n v="66.5"/>
        <n v="76.95"/>
        <n v="86.39999999999999"/>
        <n v="84.5"/>
        <n v="63.7"/>
        <n v="71.6"/>
        <n v="76.05"/>
        <n v="68.0"/>
        <n v="69.65"/>
        <n v="87.5"/>
        <n v="68.6"/>
        <n v="87.3"/>
        <n v="85.95"/>
        <n v="69.9"/>
        <n v="74.4"/>
        <n v="85.15"/>
        <n v="83.15"/>
        <n v="65.1"/>
        <n v="77.85"/>
        <n v="69.55"/>
        <n v="92.85"/>
        <n v="75.1"/>
        <n v="67.15"/>
        <n v="81.5"/>
        <n v="70.0"/>
        <n v="76.8"/>
        <n v="93.6"/>
        <n v="70.35"/>
        <n v="87.25"/>
        <n v="85.39999999999999"/>
        <n v="83.94999999999999"/>
        <n v="86.4"/>
        <n v="72.15"/>
        <n v="68.25"/>
        <n v="76.3"/>
        <n v="63.85"/>
        <n v="77.69999999999999"/>
        <n v="72.75"/>
        <n v="82.85"/>
        <n v="79.1"/>
        <n v="80.3"/>
        <n v="63.65"/>
        <n v="70.19999999999999"/>
        <n v="73.6"/>
        <n v="83.0"/>
        <n v="85.65"/>
        <n v="74.55"/>
        <n v="81.45"/>
        <n v="80.0"/>
        <n v="63.349999999999994"/>
        <n v="88.75"/>
        <n v="72.0"/>
        <n v="66.7"/>
        <n v="86.55"/>
        <n v="88.4"/>
        <n v="73.4"/>
        <n v="74.3"/>
        <n v="85.55"/>
        <n v="86.69999999999999"/>
        <n v="75.9"/>
        <n v="85.69999999999999"/>
        <n v="73.0"/>
        <n v="86.6"/>
        <n v="71.65"/>
        <n v="65.35"/>
        <n v="78.19999999999999"/>
        <n v="80.25"/>
        <n v="67.8"/>
        <n v="69.7"/>
        <n v="70.1"/>
        <n v="71.4"/>
        <n v="91.0"/>
        <n v="79.5"/>
        <n v="78.65"/>
        <n v="86.8"/>
        <n v="73.55"/>
        <n v="91.35"/>
        <n v="76.7"/>
        <n v="62.0"/>
        <n v="83.4"/>
        <n v="94.89999999999999"/>
        <n v="72.69999999999999"/>
        <n v="82.55"/>
        <n v="80.9"/>
        <n v="84.69999999999999"/>
        <n v="67.7"/>
        <n v="68.65"/>
        <n v="62.3"/>
        <n v="80.4"/>
        <n v="81.4"/>
        <n v="76.9"/>
        <n v="90.0"/>
        <n v="77.65"/>
        <n v="86.1"/>
        <n v="72.44999999999999"/>
        <n v="74.69999999999999"/>
        <n v="90.5"/>
        <n v="70.05"/>
        <n v="80.19999999999999"/>
        <n v="68.4"/>
        <m/>
      </sharedItems>
    </cacheField>
    <cacheField name="Eligibility_Status" numFmtId="0">
      <sharedItems containsBlank="1">
        <s v="Eligible"/>
        <s v="Not Eligible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464" sheet="Allocation"/>
  </cacheSource>
  <cacheFields>
    <cacheField name="Student_ID" numFmtId="0">
      <sharedItems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3"/>
        <s v="S214"/>
        <s v="S215"/>
        <s v="S216"/>
        <s v="S217"/>
        <s v="S218"/>
        <s v="S219"/>
        <s v="S220"/>
        <s v="S221"/>
        <s v="S222"/>
        <s v="S223"/>
        <s v="S224"/>
        <s v="S225"/>
        <s v="S226"/>
        <s v="S227"/>
        <s v="S228"/>
        <s v="S229"/>
        <s v="S230"/>
        <s v="S231"/>
        <s v="S232"/>
        <s v="S233"/>
        <s v="S234"/>
        <s v="S235"/>
        <s v="S236"/>
        <s v="S237"/>
        <s v="S238"/>
        <s v="S239"/>
        <s v="S240"/>
        <s v="S241"/>
        <s v="S242"/>
        <s v="S243"/>
        <s v="S244"/>
        <s v="S245"/>
        <s v="S246"/>
        <s v="S247"/>
        <s v="S248"/>
        <s v="S249"/>
        <s v="S250"/>
        <s v="S251"/>
        <s v="S252"/>
        <s v="S253"/>
        <s v="S254"/>
        <s v="S255"/>
        <s v="S256"/>
        <s v="S257"/>
        <s v="S258"/>
        <s v="S259"/>
        <s v="S260"/>
        <s v="S261"/>
        <s v="S262"/>
        <s v="S263"/>
        <s v="S264"/>
        <s v="S265"/>
        <s v="S266"/>
        <s v="S267"/>
        <s v="S268"/>
        <s v="S269"/>
        <s v="S270"/>
        <s v="S271"/>
        <s v="S272"/>
        <s v="S273"/>
        <s v="S274"/>
        <s v="S275"/>
        <s v="S276"/>
        <s v="S277"/>
        <s v="S278"/>
        <s v="S279"/>
        <s v="S280"/>
        <s v="S281"/>
        <s v="S282"/>
        <s v="S283"/>
        <s v="S284"/>
        <s v="S285"/>
        <s v="S286"/>
        <s v="S287"/>
        <s v="S288"/>
        <s v="S289"/>
        <s v="S290"/>
        <s v="S291"/>
        <s v="S292"/>
        <s v="S293"/>
        <s v="S294"/>
        <s v="S295"/>
        <s v="S296"/>
        <s v="S297"/>
        <s v="S298"/>
        <s v="S299"/>
        <s v="S300"/>
        <s v="S301"/>
        <s v="S302"/>
        <s v="S303"/>
        <s v="S304"/>
        <s v="S305"/>
        <s v="S306"/>
        <s v="S307"/>
        <s v="S308"/>
        <s v="S309"/>
        <s v="S310"/>
        <s v="S311"/>
        <s v="S312"/>
        <s v="S313"/>
        <s v="S314"/>
        <s v="S315"/>
        <s v="S316"/>
        <s v="S317"/>
        <s v="S318"/>
        <s v="S319"/>
        <s v="S320"/>
        <s v="S321"/>
        <s v="S322"/>
        <s v="S323"/>
        <s v="S324"/>
        <s v="S325"/>
        <s v="S326"/>
        <s v="S327"/>
        <s v="S328"/>
        <s v="S329"/>
        <s v="S330"/>
        <s v="S331"/>
        <s v="S332"/>
        <s v="S333"/>
        <s v="S334"/>
        <s v="S335"/>
        <s v="S336"/>
        <s v="S337"/>
        <s v="S338"/>
        <s v="S339"/>
        <s v="S340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62"/>
        <s v="S363"/>
        <s v="S364"/>
        <s v="S365"/>
        <s v="S366"/>
        <s v="S367"/>
        <s v="S368"/>
        <s v="S369"/>
        <s v="S370"/>
        <s v="S371"/>
        <s v="S372"/>
        <s v="S373"/>
        <s v="S374"/>
        <s v="S375"/>
        <s v="S376"/>
        <s v="S377"/>
        <s v="S378"/>
        <s v="S379"/>
        <s v="S380"/>
        <s v="S381"/>
        <s v="S382"/>
        <s v="S383"/>
        <s v="S384"/>
        <s v="S385"/>
        <s v="S386"/>
        <s v="S387"/>
        <s v="S388"/>
        <s v="S389"/>
        <s v="S390"/>
        <s v="S391"/>
        <s v="S392"/>
        <s v="S393"/>
        <s v="S394"/>
        <s v="S395"/>
        <s v="S396"/>
        <s v="S397"/>
        <s v="S398"/>
        <s v="S399"/>
        <s v="S400"/>
        <s v="S401"/>
        <s v="S402"/>
        <s v="S403"/>
        <s v="S404"/>
        <s v="S405"/>
        <s v="S406"/>
        <s v="S407"/>
        <s v="S408"/>
        <s v="S409"/>
        <s v="S410"/>
        <s v="S411"/>
        <s v="S412"/>
        <s v="S413"/>
        <s v="S414"/>
        <s v="S415"/>
        <s v="S416"/>
        <s v="S417"/>
        <s v="S418"/>
        <s v="S419"/>
        <s v="S420"/>
        <s v="S421"/>
        <s v="S422"/>
        <s v="S423"/>
        <s v="S424"/>
        <s v="S425"/>
        <s v="S426"/>
        <s v="S427"/>
        <s v="S428"/>
        <s v="S429"/>
        <s v="S430"/>
        <s v="S431"/>
        <s v="S432"/>
        <s v="S433"/>
        <s v="S434"/>
        <s v="S435"/>
        <s v="S436"/>
        <s v="S437"/>
        <s v="S438"/>
        <s v="S439"/>
        <s v="S440"/>
        <s v="S441"/>
        <s v="S442"/>
        <s v="S443"/>
        <s v="S444"/>
        <s v="S445"/>
        <s v="S446"/>
        <s v="S447"/>
        <s v="S448"/>
        <s v="S449"/>
        <s v="S450"/>
        <s v="S451"/>
        <s v="S452"/>
        <s v="S453"/>
        <s v="S454"/>
        <s v="S455"/>
        <s v="S456"/>
        <s v="S457"/>
        <s v="S458"/>
        <s v="S459"/>
        <s v="S460"/>
        <s v="S461"/>
        <s v="S462"/>
        <s v="S463"/>
      </sharedItems>
    </cacheField>
    <cacheField name="Name" numFmtId="0">
      <sharedItems>
        <s v="Aadhya Jain"/>
        <s v="Myra Chatterjee"/>
        <s v="Diya Gupta"/>
        <s v="Sai Agarwal"/>
        <s v="Anika Mukherjee"/>
        <s v="Krishna Agarwal"/>
        <s v="Ananya Mishra"/>
        <s v="Reyansh Chopra"/>
        <s v="Vihaan Singh"/>
        <s v="Ananya Mukherjee"/>
        <s v="Ananya Singh"/>
        <s v="Ananya Rao"/>
        <s v="Aarohi Jain"/>
        <s v="Navya Menon"/>
        <s v="Aarav Sharma"/>
        <s v="Rohan Mehta"/>
        <s v="Kabir Iyer"/>
        <s v="Vihaan Reddy"/>
        <s v="Sameer Deshmukh"/>
        <s v="Rajesh Nair"/>
        <s v="Anil Verma"/>
        <s v="Devendra Patel"/>
        <s v="Manish Gupta"/>
        <s v="Harsh Malhotra"/>
        <s v="Pranav Kulkarni"/>
        <s v="Karan Singh"/>
        <s v="Suresh Bhatia"/>
        <s v="Aditya Choudhury"/>
        <s v="Sanjay Kapoor"/>
        <s v="Naveen Menon"/>
        <s v="Gopal Das"/>
        <s v="Abhishek Joshi"/>
        <s v="Siddharth Rao"/>
        <s v="Vikram Shetty"/>
        <s v="Aisha Khan"/>
        <s v="Priya Sharma"/>
        <s v="Ananya Reddy"/>
        <s v="Lakshmi Nair"/>
        <s v="Kavya Iyer"/>
        <s v="Ritu Mehta"/>
        <s v="Sita Das"/>
        <s v="Meera Verma"/>
        <s v="Pooja Malhotra"/>
        <s v="Deepika Gupta"/>
        <s v="Shreya Choudhury"/>
        <s v="Radha Kulkarni"/>
        <s v="Sneha Patel"/>
        <s v="Neha Menon"/>
        <s v="Divya Kapoor"/>
        <s v="Nandini Shetty"/>
        <s v="Sunita Singh"/>
        <s v="Ishita Bhatia"/>
        <s v="Alka Joshi"/>
        <s v="Jaya Rao"/>
        <s v="Krishna Sharma"/>
        <s v="Arya Kapoor"/>
        <s v="Kiran Menon"/>
        <s v="Surya Patel"/>
        <s v="Chaitanya Rao"/>
        <s v="Gauri Nair"/>
        <s v="Anmol Gupta"/>
        <s v="Harini Iyer"/>
        <s v="Tanmay Kulkarni"/>
        <s v="Tejas Malhotra"/>
        <s v="Arvind Sharma"/>
        <s v="Rahul Mehta"/>
        <s v="Nikhil Reddy"/>
        <s v="Mohan Iyer"/>
        <s v="Ajay Menon"/>
        <s v="Vikas Kapoor"/>
        <s v="Ashok Nair"/>
        <s v="Rohit Singh"/>
        <s v="Tarun Bhatia"/>
        <s v="Amit Choudhury"/>
        <s v="Sandeep Joshi"/>
        <s v="Vinod Malhotra"/>
        <s v="Deepak Verma"/>
        <s v="Kunal Das"/>
        <s v="Anup Shetty"/>
        <s v="Pritam Rao"/>
        <s v="Ramesh Patel"/>
        <s v="Dinesh Kulkarni"/>
        <s v="Omkar Gupta"/>
        <s v="Yogesh Nair"/>
        <s v="Aarti Sharma"/>
        <s v="Jyoti Mehta"/>
        <s v="Pallavi Reddy"/>
        <s v="Rekha Iyer"/>
        <s v="Snehal Menon"/>
        <s v="Swati Kapoor"/>
        <s v="Vandana Nair"/>
        <s v="Leela Singh"/>
        <s v="Bhavna Bhatia"/>
        <s v="Kusum Choudhury"/>
        <s v="Roshni Joshi"/>
        <s v="Madhuri Malhotra"/>
        <s v="Kiran Verma"/>
        <s v="Sarita Das"/>
        <s v="Anushka Shetty"/>
        <s v="Malini Rao"/>
        <s v="Padma Patel"/>
        <s v="Sangeeta Kulkarni"/>
        <s v="Monika Gupta"/>
        <s v="Trisha Nair"/>
        <s v="Dev Sharma"/>
        <s v="Aryan Mehta"/>
        <s v="Aarohi Reddy"/>
        <s v="Charan Iyer"/>
        <s v="Simran Singh"/>
        <s v="Noor Khan"/>
        <s v="Ayaan Patel"/>
        <s v="Ruhi Malhotra"/>
        <s v="Veer Joshi"/>
        <s v="Tanishka Rao"/>
        <s v="Arun Sharma"/>
        <s v="Mohit Mehta"/>
        <s v="Siddhant Reddy"/>
        <s v="Ashwin Iyer"/>
        <s v="Rajiv Nair"/>
        <s v="Chetan Kapoor"/>
        <s v="Govind Singh"/>
        <s v="Prakash Bhatia"/>
        <s v="Lalit Verma"/>
        <s v="Armaan Joshi"/>
        <s v="Keshav Choudhury"/>
        <s v="Nitin Das"/>
        <s v="Harinder Malhotra"/>
        <s v="Jatin Kulkarni"/>
        <s v="Manoj Rao"/>
        <s v="Varun Shetty"/>
        <s v="Sunil Patel"/>
        <s v="Parth Menon"/>
        <s v="Raghav Gupta"/>
        <s v="Omprakash Nair"/>
        <s v="Kavitha Sharma"/>
        <s v="Anjali Mehta"/>
        <s v="Tanvi Reddy"/>
        <s v="Sushma Iyer"/>
        <s v="Nirmala Singh"/>
        <s v="Bhavya Kapoor"/>
        <s v="Reema Nair"/>
        <s v="Shalini Bhatia"/>
        <s v="Devika Verma"/>
        <s v="Komal Malhotra"/>
        <s v="Usha Joshi"/>
        <s v="Padmini Das"/>
        <s v="Ishwari Rao"/>
        <s v="Lata Kulkarni"/>
        <s v="Mridula Shetty"/>
        <s v="Charulata Patel"/>
        <s v="Seema Gupta"/>
        <s v="Madhavi Choudhury"/>
        <s v="Prerna Menon"/>
        <s v="Sonal Kapoor"/>
        <s v="Ayaan Sharma"/>
        <s v="Arya Mehta"/>
        <s v="Sai Reddy"/>
        <s v="Kaviraj Iyer"/>
        <s v="Simran Malhotra"/>
        <s v="Ishaan Joshi"/>
        <s v="Diya Singh"/>
        <s v="Ruhan Patel"/>
        <s v="Tia Verma"/>
        <s v="Aarohi Rao"/>
        <s v="Shyam Sharma"/>
        <s v="Nilesh Mehta"/>
        <s v="Vivek Reddy"/>
        <s v="Ajith Iyer"/>
        <s v="Harish Nair"/>
        <s v="Mahesh Kapoor"/>
        <s v="Pankaj Singh"/>
        <s v="Anupam Bhatia"/>
        <s v="Devesh Verma"/>
        <s v="Ranjit Joshi"/>
        <s v="Alok Choudhury"/>
        <s v="Suraj Das"/>
        <s v="Balaji Rao"/>
        <s v="Karthik Shetty"/>
        <s v="Akash Patel"/>
        <s v="Devraj Kulkarni"/>
        <s v="Saurabh Malhotra"/>
        <s v="Umesh Menon"/>
        <s v="Ritesh Gupta"/>
        <s v="Kartik Nair"/>
        <s v="Shankar Sharma"/>
        <s v="Ajmal Khan"/>
        <s v="Mukesh Mehta"/>
        <s v="Nirmal Reddy"/>
        <s v="Krishnan Iyer"/>
        <s v="Ashok Menon"/>
        <s v="Anirudh Rao"/>
        <s v="Vikash Kapoor"/>
        <s v="Raghunath Singh"/>
        <s v="Satyam Bhatia"/>
        <s v="Eshan Patel"/>
        <s v="Pradeep Choudhury"/>
        <s v="Lokesh Joshi"/>
        <s v="Yash Verma"/>
        <s v="Dheeraj Kulkarni"/>
        <s v="Manohar Das"/>
        <s v="Jeet Malhotra"/>
        <s v="Rajan Shetty"/>
        <s v="Santhosh Nair"/>
        <s v="Inderjit Sharma"/>
        <s v="Shaan Mehta"/>
        <s v="Irfan Khan"/>
        <s v="Om Nair"/>
        <s v="Abhay Gupta"/>
        <s v="Hemant Joshi"/>
        <s v="Piyush Verma"/>
        <s v="Surinder Singh"/>
        <s v="Ramesh Kapoor"/>
        <s v="Rohan Patel"/>
        <s v="Nikhilesh Rao"/>
        <s v="Radhika Sharma"/>
        <s v="Ayesha Khan"/>
        <s v="Shruti Mehta"/>
        <s v="Amrita Reddy"/>
        <s v="Meenakshi Iyer"/>
        <s v="Savita Nair"/>
        <s v="Nisha Kapoor"/>
        <s v="Leela Bhatia"/>
        <s v="Pallavi Singh"/>
        <s v="Purnima Verma"/>
        <s v="Madhavi Joshi"/>
        <s v="Rekha Malhotra"/>
        <s v="Sanjana Kulkarni"/>
        <s v="Anuradha Rao"/>
        <s v="Gayatri Patel"/>
        <s v="Bhavna Das"/>
        <s v="Supriya Menon"/>
        <s v="Anika Choudhury"/>
        <s v="Rupa Shetty"/>
        <s v="Farah Khan"/>
        <s v="Kusum Nair"/>
        <s v="Monica Gupta"/>
        <s v="Neelam Sharma"/>
        <s v="Karishma Mehta"/>
        <s v="Jhanvi Reddy"/>
        <s v="Mrinalini Iyer"/>
        <s v="Hemlata Kapoor"/>
        <s v="Roopa Singh"/>
        <s v="Chhaya Bhatia"/>
        <s v="Priyanka Verma"/>
        <s v="Kavitha Joshi"/>
        <s v="Nalini Malhotra"/>
        <s v="Tanushree Kulkarni"/>
        <s v="Deepa Rao"/>
        <s v="Swarnima Patel"/>
        <s v="Parveen Das"/>
        <s v="Aditi Shetty"/>
        <s v="Vaishali Nair"/>
        <s v="Snehal Gupta"/>
        <s v="Simran Kapoor"/>
        <s v="Archana Sharma"/>
        <s v="Sonia Mehta"/>
        <s v="Trupti Reddy"/>
        <s v="Lavanya Iyer"/>
        <s v="Pooja Singh"/>
        <s v="Anusha Verma"/>
        <s v="Manisha Malhotra"/>
        <s v="Chitra Kulkarni"/>
        <s v="Saira Banu"/>
        <s v="Vijay Sharma"/>
        <s v="Zubair Khan"/>
        <s v="Anshul Mehta"/>
        <s v="Arvind Reddy"/>
        <s v="Gokul Iyer"/>
        <s v="Sandeep Nair"/>
        <s v="Harpal Singh"/>
        <s v="Javed Malik"/>
        <s v="Tushar Kapoor"/>
        <s v="Kunal Bhatia"/>
        <s v="Shubham Verma"/>
        <s v="Amar Joshi"/>
        <s v="Mohanlal Das"/>
        <s v="Deepesh Malhotra"/>
        <s v="Sachin Kulkarni"/>
        <s v="Bharat Rao"/>
        <s v="Akhil Patel"/>
        <s v="Raghavendra Shetty"/>
        <s v="Yuvraj Choudhury"/>
        <s v="Ashutosh Gupta"/>
        <s v="Manjit Nair"/>
        <s v="Imran Khan"/>
        <s v="Dhananjay Sharma"/>
        <s v="Arpit Mehta"/>
        <s v="Santosh Reddy"/>
        <s v="Vishwanath Iyer"/>
        <s v="Shailesh Menon"/>
        <s v="Kamal Kapoor"/>
        <s v="Parvesh Singh"/>
        <s v="Chandan Bhatia"/>
        <s v="Alok Verma"/>
        <s v="Kiran Joshi"/>
        <s v="Shivam Malhotra"/>
        <s v="Subhash Kulkarni"/>
        <s v="Pranesh Rao"/>
        <s v="Ajinkya Patel"/>
        <s v="Gaurav Shetty"/>
        <s v="Rohit Choudhury"/>
        <s v="Mitesh Das"/>
        <s v="Niranjan Gupta"/>
        <s v="Abid Hussain"/>
        <s v="Hemendra Nair"/>
        <s v="Tejas Sharma"/>
        <s v="Faisal Khan"/>
        <s v="Adarsh Mehta"/>
        <s v="Nandan Reddy"/>
        <s v="Balram Iyer"/>
        <s v="Keshav Kapoor"/>
        <s v="Amarjeet Singh"/>
        <s v="Jitendra Bhatia"/>
        <s v="Alisha Sharma"/>
        <s v="Rehana Khan"/>
        <s v="Sneha Mehta"/>
        <s v="Madhura Reddy"/>
        <s v="Parvathi Iyer"/>
        <s v="Shobha Nair"/>
        <s v="Kajal Kapoor"/>
        <s v="Geeta Singh"/>
        <s v="Fatima Banu"/>
        <s v="Shweta Verma"/>
        <s v="Veena Joshi"/>
        <s v="Namrata Malhotra"/>
        <s v="Devanshi Kulkarni"/>
        <s v="Sudha Rao"/>
        <s v="Priyadarshini Patel"/>
        <s v="Jaya Das"/>
        <s v="Hema Shetty"/>
        <s v="Nafisa Khan"/>
        <s v="Charu Choudhury"/>
        <s v="Savitha Gupta"/>
        <s v="Kavitha Nair"/>
        <s v="Rupa Sharma"/>
        <s v="Zoya Mehta"/>
        <s v="Harini Reddy"/>
        <s v="Ishika Iyer"/>
        <s v="Shalini Kapoor"/>
        <s v="Rupali Singh"/>
        <s v="Aafreen Khan"/>
        <s v="Gitanjali Bhatia"/>
        <s v="Laxmi Verma"/>
        <s v="Ranjana Joshi"/>
        <s v="Smita Malhotra"/>
        <s v="Manjula Kulkarni"/>
        <s v="Sumathi Rao"/>
        <s v="Bhavana Patel"/>
        <s v="Aparna Shetty"/>
        <s v="Khushboo Choudhury"/>
        <s v="Meher Gupta"/>
        <s v="Radha Nair"/>
        <s v="Shreya Sharma"/>
        <s v="Aaliya Khan"/>
        <s v="Anushree Mehta"/>
        <s v="Yamini Reddy"/>
        <s v="Janani Iyer"/>
        <s v="Poonam Kapoor"/>
        <s v="Malathi Singh"/>
        <s v="Tasneem Banu"/>
        <s v="Ritika Verma"/>
        <s v="Sushila Joshi"/>
        <s v="Amrita Malhotra"/>
        <s v="Rajat Sharma"/>
        <s v="Salman Khan"/>
        <s v="Praveen Mehta"/>
        <s v="Lokesh Reddy"/>
        <s v="Karthikeyan Iyer"/>
        <s v="Biju Nair"/>
        <s v="Tarun Kapoor"/>
        <s v="Harjit Singh"/>
        <s v="Rafiq Ansari"/>
        <s v="Nitin Bhatia"/>
        <s v="Uday Verma"/>
        <s v="Devendra Joshi"/>
        <s v="Rameshwar Das"/>
        <s v="Satyendra Malhotra"/>
        <s v="Mohit Kulkarni"/>
        <s v="Vignesh Rao"/>
        <s v="Chirag Patel"/>
        <s v="Rajeev Shetty"/>
        <s v="Sunil Choudhury"/>
        <s v="Anil Gupta"/>
        <s v="Abhisar Nair"/>
        <s v="Danish Khan"/>
        <s v="Hemant Sharma"/>
        <s v="Shafiq Malik"/>
        <s v="Jignesh Mehta"/>
        <s v="Varadarajan Reddy"/>
        <s v="Srinivasan Iyer"/>
        <s v="Shyam Menon"/>
        <s v="Pratap Kapoor"/>
        <s v="Virendra Singh"/>
        <s v="Sahil Bhatia"/>
        <s v="Yatin Verma"/>
        <s v="Gopal Joshi"/>
        <s v="Dilip Malhotra"/>
        <s v="Anant Kulkarni"/>
        <s v="Rohan Rao"/>
        <s v="Milan Patel"/>
        <s v="Ajay Shetty"/>
        <s v="Harshad Choudhury"/>
        <s v="Prakash Das"/>
        <s v="Nirmesh Gupta"/>
        <s v="Pradyumn Nair"/>
        <s v="Arman Sharma"/>
        <s v="Kareem Khan"/>
        <s v="Vipul Mehta"/>
        <s v="Sidharth Reddy"/>
        <s v="Narayan Iyer"/>
        <s v="Balaraj Menon"/>
        <s v="Manohar Kapoor"/>
        <s v="Tejinder Singh"/>
        <s v="Madhavi Sharma"/>
        <s v="Sana Khan"/>
        <s v="Nandita Mehta"/>
        <s v="Keerthi Reddy"/>
        <s v="Indira Iyer"/>
        <s v="Anjana Nair"/>
        <s v="Sonali Kapoor"/>
        <s v="Harpreet Kaur"/>
        <s v="Mariam Banu"/>
        <s v="Chaitali Verma"/>
        <s v="Poornima Joshi"/>
        <s v="Asha Malhotra"/>
        <s v="Sharanya Kulkarni"/>
        <s v="Revathi Rao"/>
        <s v="Amisha Patel"/>
        <s v="Aruna Das"/>
        <s v="Neetu Shetty"/>
        <s v="Rubina Khan"/>
        <s v="Sanchita Choudhury"/>
        <s v="Vidya Gupta"/>
        <s v="Anupama Nair"/>
        <s v="Laxmi Sharma"/>
        <s v="Taslima Begum"/>
        <s v="Ishwarya Mehta"/>
        <s v="Deepthi Reddy"/>
        <s v="Nirmala Iyer"/>
        <s v="Rukmini Kapoor"/>
        <s v="Jaspreet Kaur"/>
        <s v="Humaira Khan"/>
        <s v="Suchitra Bhatia"/>
        <s v="Vandana Verma"/>
        <s v="Apeksha Joshi"/>
        <s v="Ritu Malhotra"/>
        <s v="Gayathri Kulkarni"/>
        <s v="Yamuna Rao"/>
        <s v="Shobitha Patel"/>
        <s v="Seher Ansari"/>
        <s v="Archana Shetty"/>
        <s v="Mridula Choudhury"/>
        <s v="Kusum Gupta"/>
        <s v="Vaidehi Nair"/>
        <s v="Priti Sharma"/>
        <s v="Hina Khan"/>
        <s v="Sharmila Mehta"/>
        <s v="Soumya Reddy"/>
        <s v="Kalyani Iyer"/>
        <s v="Rekha Kapoor"/>
        <s v="Navpreet Kaur"/>
        <s v="Zeenat Banu"/>
        <s v="Aparajita Das"/>
      </sharedItems>
    </cacheField>
    <cacheField name="Standardized_Department" numFmtId="164">
      <sharedItems>
        <s v="Computer Science"/>
        <s v="Electronics"/>
        <s v="Mechanical"/>
        <s v="Civil"/>
      </sharedItems>
    </cacheField>
    <cacheField name="Internship_Pref" numFmtId="0">
      <sharedItems>
        <s v="Company C"/>
        <s v="Company B"/>
        <s v="Company D"/>
        <s v="Company A"/>
      </sharedItems>
    </cacheField>
    <cacheField name="Weighted_Score" numFmtId="4">
      <sharedItems containsSemiMixedTypes="0" containsString="0" containsNumber="1">
        <n v="64.4"/>
        <n v="71.15"/>
        <n v="79.15"/>
        <n v="76.55"/>
        <n v="91.55"/>
        <n v="82.05"/>
        <n v="87.05"/>
        <n v="84.4"/>
        <n v="84.05"/>
        <n v="79.44999999999999"/>
        <n v="72.25"/>
        <n v="81.75"/>
        <n v="77.4"/>
        <n v="78.85"/>
        <n v="82.95"/>
        <n v="80.35"/>
        <n v="73.64999999999999"/>
        <n v="82.3"/>
        <n v="69.8"/>
        <n v="73.25"/>
        <n v="81.8"/>
        <n v="86.7"/>
        <n v="77.44999999999999"/>
        <n v="82.25"/>
        <n v="83.5"/>
        <n v="78.9"/>
        <n v="64.55"/>
        <n v="86.65"/>
        <n v="86.15"/>
        <n v="89.4"/>
        <n v="84.0"/>
        <n v="87.8"/>
        <n v="77.75"/>
        <n v="81.25"/>
        <n v="87.19999999999999"/>
        <n v="81.2"/>
        <n v="72.6"/>
        <n v="67.94999999999999"/>
        <n v="83.05"/>
        <n v="90.1"/>
        <n v="78.6"/>
        <n v="74.5"/>
        <n v="63.4"/>
        <n v="76.15"/>
        <n v="78.4"/>
        <n v="75.25"/>
        <n v="75.89999999999999"/>
        <n v="72.5"/>
        <n v="90.15"/>
        <n v="80.85"/>
        <n v="91.9"/>
        <n v="78.3"/>
        <n v="77.05"/>
        <n v="65.9"/>
        <n v="69.75"/>
        <n v="81.15"/>
        <n v="75.85"/>
        <n v="85.25"/>
        <n v="76.0"/>
        <n v="64.94999999999999"/>
        <n v="72.85"/>
        <n v="89.75"/>
        <n v="83.65"/>
        <n v="87.6"/>
        <n v="77.3"/>
        <n v="70.8"/>
        <n v="66.15"/>
        <n v="80.1"/>
        <n v="70.9"/>
        <n v="73.5"/>
        <n v="93.15"/>
        <n v="88.8"/>
        <n v="74.15"/>
        <n v="82.1"/>
        <n v="66.69999999999999"/>
        <n v="70.3"/>
        <n v="77.1"/>
        <n v="74.35"/>
        <n v="64.85"/>
        <n v="82.0"/>
        <n v="67.19999999999999"/>
        <n v="72.45"/>
        <n v="71.35"/>
        <n v="68.05"/>
        <n v="77.19999999999999"/>
        <n v="90.85"/>
        <n v="72.9"/>
        <n v="73.75"/>
        <n v="61.75"/>
        <n v="72.8"/>
        <n v="81.19999999999999"/>
        <n v="83.1"/>
        <n v="81.3"/>
        <n v="90.64999999999999"/>
        <n v="73.9"/>
        <n v="81.85"/>
        <n v="69.25"/>
        <n v="71.05"/>
        <n v="84.35"/>
        <n v="67.9"/>
        <n v="86.5"/>
        <n v="68.9"/>
        <n v="85.1"/>
        <n v="85.6"/>
        <n v="76.4"/>
        <n v="80.6"/>
        <n v="67.0"/>
        <n v="68.85"/>
        <n v="73.1"/>
        <n v="75.0"/>
        <n v="74.65"/>
        <n v="84.44999999999999"/>
        <n v="75.94999999999999"/>
        <n v="84.55"/>
        <n v="85.3"/>
        <n v="92.55"/>
        <n v="87.69999999999999"/>
        <n v="74.75"/>
        <n v="76.64999999999999"/>
        <n v="77.55"/>
        <n v="91.94999999999999"/>
        <n v="77.2"/>
        <n v="77.94999999999999"/>
        <n v="94.25"/>
        <n v="76.5"/>
        <n v="65.5"/>
        <n v="78.05"/>
        <n v="62.2"/>
        <n v="79.6"/>
        <n v="70.69999999999999"/>
        <n v="61.849999999999994"/>
        <n v="79.0"/>
        <n v="79.05"/>
        <n v="79.4"/>
        <n v="88.55"/>
        <n v="70.44999999999999"/>
        <n v="89.19999999999999"/>
        <n v="85.9"/>
        <n v="68.55"/>
        <n v="64.25"/>
        <n v="90.4"/>
        <n v="66.3"/>
        <n v="83.55"/>
        <n v="82.6"/>
        <n v="66.9"/>
        <n v="75.35"/>
        <n v="82.94999999999999"/>
        <n v="71.44999999999999"/>
        <n v="84.65"/>
        <n v="86.25"/>
        <n v="81.0"/>
        <n v="67.45"/>
        <n v="74.05"/>
        <n v="73.8"/>
        <n v="80.65"/>
        <n v="70.2"/>
        <n v="80.7"/>
        <n v="67.5"/>
        <n v="67.55"/>
        <n v="77.6"/>
        <n v="92.25"/>
        <n v="82.69999999999999"/>
        <n v="79.8"/>
        <n v="68.7"/>
        <n v="70.85"/>
        <n v="87.4"/>
        <n v="87.65"/>
        <n v="62.75"/>
        <n v="70.5"/>
        <n v="86.05"/>
        <n v="71.3"/>
        <n v="81.44999999999999"/>
        <n v="76.85"/>
        <n v="91.19999999999999"/>
        <n v="78.1"/>
        <n v="88.25"/>
        <n v="82.45"/>
        <n v="84.75"/>
        <n v="72.35"/>
        <n v="87.94999999999999"/>
        <n v="70.4"/>
        <n v="75.6"/>
        <n v="77.35"/>
        <n v="78.8"/>
        <n v="85.44999999999999"/>
        <n v="82.35"/>
        <n v="79.75"/>
        <n v="80.8"/>
        <n v="93.25"/>
        <n v="56.7"/>
        <n v="65.15"/>
        <n v="75.55"/>
        <n v="91.45"/>
        <n v="73.19999999999999"/>
        <n v="80.55"/>
        <n v="69.4"/>
        <n v="74.95"/>
        <n v="88.94999999999999"/>
        <n v="84.19999999999999"/>
        <n v="73.3"/>
        <n v="70.7"/>
        <n v="97.85"/>
        <n v="81.65"/>
        <n v="69.15"/>
        <n v="76.6"/>
        <n v="64.8"/>
        <n v="61.5"/>
        <n v="90.65"/>
        <n v="88.85"/>
        <n v="93.1"/>
        <n v="79.95"/>
        <n v="76.75"/>
        <n v="74.85"/>
        <n v="74.1"/>
        <n v="89.05"/>
        <n v="86.9"/>
        <n v="75.8"/>
        <n v="66.95"/>
        <n v="82.9"/>
        <n v="89.6"/>
        <n v="71.25"/>
        <n v="79.45"/>
        <n v="67.1"/>
        <n v="87.9"/>
        <n v="62.05"/>
        <n v="74.8"/>
        <n v="90.69999999999999"/>
        <n v="78.0"/>
        <n v="69.1"/>
        <n v="67.25"/>
        <n v="77.0"/>
        <n v="66.5"/>
        <n v="76.95"/>
        <n v="86.39999999999999"/>
        <n v="84.5"/>
        <n v="63.7"/>
        <n v="71.6"/>
        <n v="76.05"/>
        <n v="68.0"/>
        <n v="69.65"/>
        <n v="87.5"/>
        <n v="68.6"/>
        <n v="87.3"/>
        <n v="85.95"/>
        <n v="69.9"/>
        <n v="74.4"/>
        <n v="85.15"/>
        <n v="83.15"/>
        <n v="65.1"/>
        <n v="77.85"/>
        <n v="69.55"/>
        <n v="92.85"/>
        <n v="75.1"/>
        <n v="67.15"/>
        <n v="81.5"/>
        <n v="70.0"/>
        <n v="76.8"/>
        <n v="93.6"/>
        <n v="70.35"/>
        <n v="87.25"/>
        <n v="85.39999999999999"/>
        <n v="83.94999999999999"/>
        <n v="86.4"/>
        <n v="72.15"/>
        <n v="68.25"/>
        <n v="76.3"/>
        <n v="63.85"/>
        <n v="77.69999999999999"/>
        <n v="72.75"/>
        <n v="82.85"/>
        <n v="79.1"/>
        <n v="80.3"/>
        <n v="63.65"/>
        <n v="70.19999999999999"/>
        <n v="73.6"/>
        <n v="83.0"/>
        <n v="85.65"/>
        <n v="74.55"/>
        <n v="81.45"/>
        <n v="80.0"/>
        <n v="63.349999999999994"/>
        <n v="88.75"/>
        <n v="72.0"/>
        <n v="66.7"/>
        <n v="86.55"/>
        <n v="88.4"/>
        <n v="73.4"/>
        <n v="74.3"/>
        <n v="85.55"/>
        <n v="86.69999999999999"/>
        <n v="75.9"/>
        <n v="85.69999999999999"/>
        <n v="73.0"/>
        <n v="86.6"/>
        <n v="71.65"/>
        <n v="65.35"/>
        <n v="78.19999999999999"/>
        <n v="80.25"/>
        <n v="67.8"/>
        <n v="69.7"/>
        <n v="70.1"/>
        <n v="71.4"/>
        <n v="91.0"/>
        <n v="79.5"/>
        <n v="78.65"/>
        <n v="86.8"/>
        <n v="73.55"/>
        <n v="91.35"/>
        <n v="76.7"/>
        <n v="62.0"/>
        <n v="83.4"/>
        <n v="94.89999999999999"/>
        <n v="72.69999999999999"/>
        <n v="82.55"/>
        <n v="80.9"/>
        <n v="84.69999999999999"/>
        <n v="67.7"/>
        <n v="68.65"/>
        <n v="62.3"/>
        <n v="80.4"/>
        <n v="81.4"/>
        <n v="76.9"/>
        <n v="90.0"/>
        <n v="77.65"/>
        <n v="86.1"/>
        <n v="72.44999999999999"/>
        <n v="74.69999999999999"/>
        <n v="90.5"/>
        <n v="70.05"/>
        <n v="80.19999999999999"/>
        <n v="68.4"/>
      </sharedItems>
    </cacheField>
    <cacheField name="Eligibility_Status" numFmtId="0">
      <sharedItems>
        <s v="Eligible"/>
        <s v="Not Eligible"/>
      </sharedItems>
    </cacheField>
    <cacheField name="Rank" numFmtId="0">
      <sharedItems containsSemiMixedTypes="0" containsString="0" containsNumber="1" containsInteger="1">
        <n v="108.0"/>
        <n v="98.0"/>
        <n v="50.0"/>
        <n v="66.0"/>
        <n v="2.0"/>
        <n v="37.0"/>
        <n v="17.0"/>
        <n v="29.0"/>
        <n v="53.0"/>
        <n v="92.0"/>
        <n v="41.0"/>
        <n v="54.0"/>
        <n v="57.0"/>
        <n v="24.0"/>
        <n v="44.0"/>
        <n v="85.0"/>
        <n v="36.0"/>
        <n v="81.0"/>
        <n v="39.0"/>
        <n v="16.0"/>
        <n v="62.0"/>
        <n v="28.0"/>
        <n v="32.0"/>
        <n v="46.0"/>
        <n v="107.0"/>
        <n v="15.0"/>
        <n v="9.0"/>
        <n v="12.0"/>
        <n v="58.0"/>
        <n v="14.0"/>
        <n v="45.0"/>
        <n v="90.0"/>
        <n v="96.0"/>
        <n v="35.0"/>
        <n v="7.0"/>
        <n v="78.0"/>
        <n v="133.0"/>
        <n v="68.0"/>
        <n v="73.0"/>
        <n v="76.0"/>
        <n v="77.0"/>
        <n v="8.0"/>
        <n v="1.0"/>
        <n v="49.0"/>
        <n v="67.0"/>
        <n v="123.0"/>
        <n v="104.0"/>
        <n v="42.0"/>
        <n v="70.0"/>
        <n v="74.0"/>
        <n v="103.0"/>
        <n v="88.0"/>
        <n v="31.0"/>
        <n v="63.0"/>
        <n v="100.0"/>
        <n v="122.0"/>
        <n v="11.0"/>
        <n v="64.0"/>
        <n v="121.0"/>
        <n v="86.0"/>
        <n v="79.0"/>
        <n v="127.0"/>
        <n v="30.0"/>
        <n v="83.0"/>
        <n v="91.0"/>
        <n v="95.0"/>
        <n v="65.0"/>
        <n v="6.0"/>
        <n v="71.0"/>
        <n v="135.0"/>
        <n v="99.0"/>
        <n v="97.0"/>
        <n v="20.0"/>
        <n v="109.0"/>
        <n v="21.0"/>
        <n v="47.0"/>
        <n v="89.0"/>
        <n v="61.0"/>
        <n v="27.0"/>
        <n v="23.0"/>
        <n v="4.0"/>
        <n v="52.0"/>
        <n v="106.0"/>
        <n v="59.0"/>
        <n v="111.0"/>
        <n v="56.0"/>
        <n v="51.0"/>
        <n v="93.0"/>
        <n v="129.0"/>
        <n v="102.0"/>
        <n v="26.0"/>
        <n v="119.0"/>
        <n v="101.0"/>
        <n v="72.0"/>
        <n v="34.0"/>
        <n v="25.0"/>
        <n v="43.0"/>
        <n v="80.0"/>
        <n v="40.0"/>
        <n v="38.0"/>
        <n v="115.0"/>
        <n v="5.0"/>
        <n v="48.0"/>
        <n v="110.0"/>
        <n v="13.0"/>
        <n v="84.0"/>
        <n v="69.0"/>
        <n v="60.0"/>
        <n v="3.0"/>
        <n v="82.0"/>
        <n v="87.0"/>
        <n v="75.0"/>
        <n v="10.0"/>
        <n v="19.0"/>
        <n v="55.0"/>
        <n v="105.0"/>
        <n v="112.0"/>
        <n v="117.0"/>
        <n v="131.0"/>
        <n v="126.0"/>
        <n v="118.0"/>
        <n v="18.0"/>
        <n v="94.0"/>
        <n v="130.0"/>
        <n v="132.0"/>
        <n v="33.0"/>
        <n v="22.0"/>
        <n v="125.0"/>
        <n v="114.0"/>
        <n v="128.0"/>
        <n v="134.0"/>
        <n v="113.0"/>
      </sharedItems>
    </cacheField>
    <cacheField name="Allocation_Status" numFmtId="4">
      <sharedItems>
        <s v="Not Allocated"/>
        <s v="Allocat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C8" firstHeaderRow="0" firstDataRow="2" firstDataCol="0" rowPageCount="1" colPageCount="1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ndardized_Department" axis="axisRow" compact="0" numFmtId="164" outline="0" multipleItemSelectionAllowed="1" showAll="0" sortType="ascending">
      <items>
        <item x="3"/>
        <item x="0"/>
        <item x="1"/>
        <item x="2"/>
        <item t="default"/>
      </items>
    </pivotField>
    <pivotField name="Test_1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st_2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est_3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ttendance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pplica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ternship_Pref" compact="0" outline="0" multipleItemSelectionAllowed="1" showAll="0">
      <items>
        <item x="0"/>
        <item x="1"/>
        <item x="2"/>
        <item x="3"/>
        <item t="default"/>
      </items>
    </pivotField>
    <pivotField name="Assignment_Completion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Weighted_Scor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Eligibility_Status" axis="axisPage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pageFields>
    <pageField fld="12"/>
  </pageFields>
  <dataFields>
    <dataField name="SUM of Weighted_Score" fld="11" baseField="0"/>
    <dataField name="COUNTA of Student_ID" fld="0" subtotal="count" baseField="0"/>
  </dataFields>
</pivotTableDefinition>
</file>

<file path=xl/pivotTables/pivotTable2.xml><?xml version="1.0" encoding="utf-8"?>
<pivotTableDefinition xmlns="http://schemas.openxmlformats.org/spreadsheetml/2006/main" name="Dashboard" cacheId="1" dataCaption="" compact="0" compactData="0">
  <location ref="A3:B8" firstHeaderRow="0" firstDataRow="1" firstDataCol="0" rowPageCount="1" colPageCount="1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tandardized_Department" axis="axisRow" compact="0" numFmtId="164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Test_1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est_2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est_3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ttendance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pplica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Internship_Pref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ssignment_Completion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eighted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Eligibility_Status" axis="axisPage" compact="0" outline="0" multipleItemSelectionAllowed="1" showAll="0">
      <items>
        <item x="0"/>
        <item x="1"/>
        <item h="1"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3"/>
  </rowFields>
  <pageFields>
    <pageField fld="12"/>
  </pageFields>
  <dataFields>
    <dataField name="Total Students " fld="0" subtotal="count" baseField="0"/>
  </dataFields>
</pivotTableDefinition>
</file>

<file path=xl/pivotTables/pivotTable3.xml><?xml version="1.0" encoding="utf-8"?>
<pivotTableDefinition xmlns="http://schemas.openxmlformats.org/spreadsheetml/2006/main" name="Dashboard 2" cacheId="0" dataCaption="" compact="0" compactData="0">
  <location ref="C3:D8" firstHeaderRow="0" firstDataRow="1" firstDataCol="0" rowPageCount="1" colPageCount="1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ndardized_Department" axis="axisRow" compact="0" numFmtId="164" outline="0" multipleItemSelectionAllowed="1" showAll="0" sortType="ascending">
      <items>
        <item x="3"/>
        <item x="0"/>
        <item x="1"/>
        <item x="2"/>
        <item t="default"/>
      </items>
    </pivotField>
    <pivotField name="Test_1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st_2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est_3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ttendance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pplica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ternship_Pref" compact="0" outline="0" multipleItemSelectionAllowed="1" showAll="0">
      <items>
        <item x="0"/>
        <item x="1"/>
        <item x="2"/>
        <item x="3"/>
        <item t="default"/>
      </items>
    </pivotField>
    <pivotField name="Assignment_Completion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Weighted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Eligibility_Status" axis="axisPage" dataField="1" compact="0" outline="0" multipleItemSelectionAllowed="1" showAll="0">
      <items>
        <item x="0"/>
        <item h="1" x="1"/>
        <item t="default"/>
      </items>
    </pivotField>
  </pivotFields>
  <rowFields>
    <field x="3"/>
  </rowFields>
  <pageFields>
    <pageField fld="12"/>
  </pageFields>
  <dataFields>
    <dataField name="Eligible Students" fld="12" subtotal="count" baseField="0"/>
  </dataFields>
</pivotTableDefinition>
</file>

<file path=xl/pivotTables/pivotTable4.xml><?xml version="1.0" encoding="utf-8"?>
<pivotTableDefinition xmlns="http://schemas.openxmlformats.org/spreadsheetml/2006/main" name="Dashboard 3" cacheId="2" dataCaption="" compact="0" compactData="0">
  <location ref="E3:F8" firstHeaderRow="0" firstDataRow="1" firstDataCol="0" rowPageCount="1" colPageCount="1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Standardized_Department" axis="axisRow" compact="0" numFmtId="164" outline="0" multipleItemSelectionAllowed="1" showAll="0" sortType="ascending">
      <items>
        <item x="3"/>
        <item x="0"/>
        <item x="1"/>
        <item x="2"/>
        <item t="default"/>
      </items>
    </pivotField>
    <pivotField name="Internship_Pref" compact="0" outline="0" multipleItemSelectionAllowed="1" showAll="0">
      <items>
        <item x="0"/>
        <item x="1"/>
        <item x="2"/>
        <item x="3"/>
        <item t="default"/>
      </items>
    </pivotField>
    <pivotField name="Weighted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Eligibility_Status" compact="0" outline="0" multipleItemSelectionAllowed="1" showAll="0">
      <items>
        <item x="0"/>
        <item x="1"/>
        <item t="default"/>
      </items>
    </pivotField>
    <pivotField name="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Allocation_Status" axis="axisPage" compact="0" numFmtId="4" outline="0" multipleItemSelectionAllowed="1" showAll="0">
      <items>
        <item h="1" x="0"/>
        <item x="1"/>
        <item t="default"/>
      </items>
    </pivotField>
  </pivotFields>
  <rowFields>
    <field x="2"/>
  </rowFields>
  <pageFields>
    <pageField fld="7"/>
  </pageFields>
  <dataFields>
    <dataField name="Allocated Students" fld="0" subtotal="count" baseField="0"/>
  </dataFields>
</pivotTableDefinition>
</file>

<file path=xl/pivotTables/pivotTable5.xml><?xml version="1.0" encoding="utf-8"?>
<pivotTableDefinition xmlns="http://schemas.openxmlformats.org/spreadsheetml/2006/main" name="Dashboard 4" cacheId="0" dataCaption="" compact="0" compactData="0">
  <location ref="A9:B14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ndardized_Department" axis="axisRow" compact="0" numFmtId="164" outline="0" multipleItemSelectionAllowed="1" showAll="0" sortType="ascending">
      <items>
        <item x="3"/>
        <item x="0"/>
        <item x="1"/>
        <item x="2"/>
        <item t="default"/>
      </items>
    </pivotField>
    <pivotField name="Test_1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st_2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est_3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ttendance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pplica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ternship_Pref" compact="0" outline="0" multipleItemSelectionAllowed="1" showAll="0">
      <items>
        <item x="0"/>
        <item x="1"/>
        <item x="2"/>
        <item x="3"/>
        <item t="default"/>
      </items>
    </pivotField>
    <pivotField name="Assignment_Completion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Weighted_Scor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Eligibility_Status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AVERAGE" fld="11" baseField="0"/>
  </dataFields>
</pivotTableDefinition>
</file>

<file path=xl/pivotTables/pivotTable6.xml><?xml version="1.0" encoding="utf-8"?>
<pivotTableDefinition xmlns="http://schemas.openxmlformats.org/spreadsheetml/2006/main" name="Dashboard 5" cacheId="0" dataCaption="" compact="0" compactData="0">
  <location ref="A24:B29" firstHeaderRow="0" firstDataRow="1" firstDataCol="0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ndardized_Department" compact="0" numFmtId="164" outline="0" multipleItemSelectionAllowed="1" showAll="0">
      <items>
        <item x="0"/>
        <item x="1"/>
        <item x="2"/>
        <item x="3"/>
        <item t="default"/>
      </items>
    </pivotField>
    <pivotField name="Test_1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st_2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est_3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ttendance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pplication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ternship_Pref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Assignment_Completion_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Weighted_Scor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Eligibility_Status" compact="0" outline="0" multipleItemSelectionAllowed="1" showAll="0">
      <items>
        <item x="0"/>
        <item x="1"/>
        <item t="default"/>
      </items>
    </pivotField>
  </pivotFields>
  <rowFields>
    <field x="9"/>
  </rowFields>
  <dataFields>
    <dataField name="COUNTA of Student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6" t="s">
        <v>13</v>
      </c>
      <c r="O1" s="6" t="s">
        <v>13</v>
      </c>
      <c r="P1" s="6" t="s">
        <v>13</v>
      </c>
      <c r="Q1" s="6" t="s">
        <v>13</v>
      </c>
      <c r="R1" s="6" t="s">
        <v>13</v>
      </c>
      <c r="S1" s="6" t="s">
        <v>13</v>
      </c>
      <c r="T1" s="6" t="s">
        <v>13</v>
      </c>
      <c r="U1" s="6" t="s">
        <v>13</v>
      </c>
      <c r="V1" s="6" t="s">
        <v>13</v>
      </c>
      <c r="W1" s="6" t="s">
        <v>13</v>
      </c>
      <c r="X1" s="6" t="s">
        <v>13</v>
      </c>
      <c r="Y1" s="6" t="s">
        <v>13</v>
      </c>
      <c r="Z1" s="6" t="s">
        <v>13</v>
      </c>
      <c r="AA1" s="6" t="s">
        <v>13</v>
      </c>
      <c r="AB1" s="6" t="s">
        <v>13</v>
      </c>
    </row>
    <row r="2">
      <c r="A2" s="6" t="s">
        <v>14</v>
      </c>
      <c r="B2" s="6" t="s">
        <v>15</v>
      </c>
      <c r="C2" s="6" t="s">
        <v>16</v>
      </c>
      <c r="D2" s="7" t="str">
        <f>VLOOKUP(C2, Dept_Lookup!$A$2:$B$17, 2, FALSE)</f>
        <v>Computer Science</v>
      </c>
      <c r="E2" s="6">
        <v>75.0</v>
      </c>
      <c r="F2" s="6">
        <v>59.0</v>
      </c>
      <c r="G2" s="6">
        <v>65.0</v>
      </c>
      <c r="H2" s="8">
        <v>0.77</v>
      </c>
      <c r="I2" s="7">
        <v>45893.0</v>
      </c>
      <c r="J2" s="6" t="s">
        <v>17</v>
      </c>
      <c r="K2" s="8">
        <v>0.9</v>
      </c>
      <c r="L2" s="9">
        <f>E2*Scoring_Weights!$B$2 + F2*Scoring_Weights!$B$3 + G2*Scoring_Weights!$B$4</f>
        <v>64.4</v>
      </c>
      <c r="M2" s="6" t="str">
        <f>IF(AND(H2&gt;=(VLOOKUP(J2,Interview_Slots!$A$2:$D$5,4,FALSE)/100), L2&gt;=VLOOKUP(J2,Interview_Slots!$A$2:$D$5,3,FALSE)), "Eligible", "Not Eligible")</f>
        <v>Eligible</v>
      </c>
    </row>
    <row r="3">
      <c r="A3" s="6" t="s">
        <v>18</v>
      </c>
      <c r="B3" s="6" t="s">
        <v>19</v>
      </c>
      <c r="C3" s="6" t="s">
        <v>20</v>
      </c>
      <c r="D3" s="7" t="str">
        <f>VLOOKUP(C3, Dept_Lookup!$A$2:$B$17, 2, FALSE)</f>
        <v>Computer Science</v>
      </c>
      <c r="E3" s="6">
        <v>66.0</v>
      </c>
      <c r="F3" s="6">
        <v>75.0</v>
      </c>
      <c r="G3" s="6">
        <v>70.0</v>
      </c>
      <c r="H3" s="8">
        <v>0.86</v>
      </c>
      <c r="I3" s="7">
        <v>45816.0</v>
      </c>
      <c r="J3" s="6" t="s">
        <v>21</v>
      </c>
      <c r="K3" s="8">
        <v>0.82</v>
      </c>
      <c r="L3" s="9">
        <f>E3*Scoring_Weights!$B$2 + F3*Scoring_Weights!$B$3 + G3*Scoring_Weights!$B$4</f>
        <v>71.15</v>
      </c>
      <c r="M3" s="6" t="str">
        <f>IF(AND(H3&gt;=(VLOOKUP(J3,Interview_Slots!$A$2:$D$5,4,FALSE)/100), L3&gt;=VLOOKUP(J3,Interview_Slots!$A$2:$D$5,3,FALSE)), "Eligible", "Not Eligible")</f>
        <v>Eligible</v>
      </c>
    </row>
    <row r="4">
      <c r="A4" s="6" t="s">
        <v>22</v>
      </c>
      <c r="B4" s="6" t="s">
        <v>23</v>
      </c>
      <c r="C4" s="6" t="s">
        <v>24</v>
      </c>
      <c r="D4" s="7" t="str">
        <f>VLOOKUP(C4, Dept_Lookup!$A$2:$B$17, 2, FALSE)</f>
        <v>Computer Science</v>
      </c>
      <c r="E4" s="6">
        <v>98.0</v>
      </c>
      <c r="F4" s="6">
        <v>67.0</v>
      </c>
      <c r="G4" s="6">
        <v>82.0</v>
      </c>
      <c r="H4" s="8">
        <v>0.91</v>
      </c>
      <c r="I4" s="7">
        <v>45893.0</v>
      </c>
      <c r="J4" s="6" t="s">
        <v>25</v>
      </c>
      <c r="K4" s="8">
        <v>0.79</v>
      </c>
      <c r="L4" s="9">
        <f>E4*Scoring_Weights!$B$2 + F4*Scoring_Weights!$B$3 + G4*Scoring_Weights!$B$4</f>
        <v>79.15</v>
      </c>
      <c r="M4" s="6" t="str">
        <f>IF(AND(H4&gt;=(VLOOKUP(J4,Interview_Slots!$A$2:$D$5,4,FALSE)/100), L4&gt;=VLOOKUP(J4,Interview_Slots!$A$2:$D$5,3,FALSE)), "Eligible", "Not Eligible")</f>
        <v>Eligible</v>
      </c>
    </row>
    <row r="5">
      <c r="A5" s="6" t="s">
        <v>26</v>
      </c>
      <c r="B5" s="6" t="s">
        <v>27</v>
      </c>
      <c r="C5" s="6" t="s">
        <v>28</v>
      </c>
      <c r="D5" s="7" t="str">
        <f>VLOOKUP(C5, Dept_Lookup!$A$2:$B$17, 2, FALSE)</f>
        <v>Computer Science</v>
      </c>
      <c r="E5" s="6">
        <v>96.0</v>
      </c>
      <c r="F5" s="6">
        <v>69.0</v>
      </c>
      <c r="G5" s="6">
        <v>76.0</v>
      </c>
      <c r="H5" s="8">
        <v>0.99</v>
      </c>
      <c r="I5" s="7">
        <v>45865.0</v>
      </c>
      <c r="J5" s="6" t="s">
        <v>21</v>
      </c>
      <c r="K5" s="8">
        <v>0.84</v>
      </c>
      <c r="L5" s="9">
        <f>E5*Scoring_Weights!$B$2 + F5*Scoring_Weights!$B$3 + G5*Scoring_Weights!$B$4</f>
        <v>76.55</v>
      </c>
      <c r="M5" s="6" t="str">
        <f>IF(AND(H5&gt;=(VLOOKUP(J5,Interview_Slots!$A$2:$D$5,4,FALSE)/100), L5&gt;=VLOOKUP(J5,Interview_Slots!$A$2:$D$5,3,FALSE)), "Eligible", "Not Eligible")</f>
        <v>Eligible</v>
      </c>
    </row>
    <row r="6">
      <c r="A6" s="6" t="s">
        <v>29</v>
      </c>
      <c r="B6" s="6" t="s">
        <v>30</v>
      </c>
      <c r="C6" s="6" t="s">
        <v>31</v>
      </c>
      <c r="D6" s="7" t="str">
        <f>VLOOKUP(C6, Dept_Lookup!$A$2:$B$17, 2, FALSE)</f>
        <v>Electronics</v>
      </c>
      <c r="E6" s="6">
        <v>78.0</v>
      </c>
      <c r="F6" s="6">
        <v>91.0</v>
      </c>
      <c r="G6" s="6">
        <v>96.0</v>
      </c>
      <c r="H6" s="8">
        <v>0.81</v>
      </c>
      <c r="I6" s="7">
        <v>45915.0</v>
      </c>
      <c r="J6" s="6" t="s">
        <v>32</v>
      </c>
      <c r="K6" s="8">
        <v>0.73</v>
      </c>
      <c r="L6" s="9">
        <f>E6*Scoring_Weights!$B$2 + F6*Scoring_Weights!$B$3 + G6*Scoring_Weights!$B$4</f>
        <v>91.55</v>
      </c>
      <c r="M6" s="6" t="str">
        <f>IF(AND(H6&gt;=(VLOOKUP(J6,Interview_Slots!$A$2:$D$5,4,FALSE)/100), L6&gt;=VLOOKUP(J6,Interview_Slots!$A$2:$D$5,3,FALSE)), "Eligible", "Not Eligible")</f>
        <v>Eligible</v>
      </c>
    </row>
    <row r="7">
      <c r="A7" s="6" t="s">
        <v>33</v>
      </c>
      <c r="B7" s="6" t="s">
        <v>34</v>
      </c>
      <c r="C7" s="6" t="s">
        <v>35</v>
      </c>
      <c r="D7" s="7" t="str">
        <f>VLOOKUP(C7, Dept_Lookup!$A$2:$B$17, 2, FALSE)</f>
        <v>Electronics</v>
      </c>
      <c r="E7" s="6">
        <v>80.0</v>
      </c>
      <c r="F7" s="6">
        <v>63.0</v>
      </c>
      <c r="G7" s="6">
        <v>96.0</v>
      </c>
      <c r="H7" s="8">
        <v>0.72</v>
      </c>
      <c r="I7" s="7">
        <v>45860.0</v>
      </c>
      <c r="J7" s="6" t="s">
        <v>25</v>
      </c>
      <c r="K7" s="8">
        <v>0.86</v>
      </c>
      <c r="L7" s="9">
        <f>E7*Scoring_Weights!$B$2 + F7*Scoring_Weights!$B$3 + G7*Scoring_Weights!$B$4</f>
        <v>82.05</v>
      </c>
      <c r="M7" s="6" t="str">
        <f>IF(AND(H7&gt;=(VLOOKUP(J7,Interview_Slots!$A$2:$D$5,4,FALSE)/100), L7&gt;=VLOOKUP(J7,Interview_Slots!$A$2:$D$5,3,FALSE)), "Eligible", "Not Eligible")</f>
        <v>Not Eligible</v>
      </c>
    </row>
    <row r="8">
      <c r="A8" s="6" t="s">
        <v>36</v>
      </c>
      <c r="B8" s="6" t="s">
        <v>37</v>
      </c>
      <c r="C8" s="6" t="s">
        <v>38</v>
      </c>
      <c r="D8" s="7" t="str">
        <f>VLOOKUP(C8, Dept_Lookup!$A$2:$B$17, 2, FALSE)</f>
        <v>Electronics</v>
      </c>
      <c r="E8" s="6">
        <v>80.0</v>
      </c>
      <c r="F8" s="6">
        <v>93.0</v>
      </c>
      <c r="G8" s="6">
        <v>85.0</v>
      </c>
      <c r="H8" s="8">
        <v>0.78</v>
      </c>
      <c r="I8" s="7">
        <v>45872.0</v>
      </c>
      <c r="J8" s="6" t="s">
        <v>25</v>
      </c>
      <c r="K8" s="8">
        <v>0.94</v>
      </c>
      <c r="L8" s="9">
        <f>E8*Scoring_Weights!$B$2 + F8*Scoring_Weights!$B$3 + G8*Scoring_Weights!$B$4</f>
        <v>87.05</v>
      </c>
      <c r="M8" s="6" t="str">
        <f>IF(AND(H8&gt;=(VLOOKUP(J8,Interview_Slots!$A$2:$D$5,4,FALSE)/100), L8&gt;=VLOOKUP(J8,Interview_Slots!$A$2:$D$5,3,FALSE)), "Eligible", "Not Eligible")</f>
        <v>Not Eligible</v>
      </c>
    </row>
    <row r="9">
      <c r="A9" s="6" t="s">
        <v>39</v>
      </c>
      <c r="B9" s="6" t="s">
        <v>40</v>
      </c>
      <c r="C9" s="6" t="s">
        <v>41</v>
      </c>
      <c r="D9" s="7" t="str">
        <f>VLOOKUP(C9, Dept_Lookup!$A$2:$B$17, 2, FALSE)</f>
        <v>Electronics</v>
      </c>
      <c r="E9" s="6">
        <v>91.0</v>
      </c>
      <c r="F9" s="6">
        <v>75.0</v>
      </c>
      <c r="G9" s="6">
        <v>89.0</v>
      </c>
      <c r="H9" s="8">
        <v>0.88</v>
      </c>
      <c r="I9" s="7">
        <v>45880.0</v>
      </c>
      <c r="J9" s="6" t="s">
        <v>17</v>
      </c>
      <c r="K9" s="8">
        <v>0.84</v>
      </c>
      <c r="L9" s="9">
        <f>E9*Scoring_Weights!$B$2 + F9*Scoring_Weights!$B$3 + G9*Scoring_Weights!$B$4</f>
        <v>84.4</v>
      </c>
      <c r="M9" s="6" t="str">
        <f>IF(AND(H9&gt;=(VLOOKUP(J9,Interview_Slots!$A$2:$D$5,4,FALSE)/100), L9&gt;=VLOOKUP(J9,Interview_Slots!$A$2:$D$5,3,FALSE)), "Eligible", "Not Eligible")</f>
        <v>Eligible</v>
      </c>
    </row>
    <row r="10">
      <c r="A10" s="6" t="s">
        <v>42</v>
      </c>
      <c r="B10" s="6" t="s">
        <v>43</v>
      </c>
      <c r="C10" s="6" t="s">
        <v>44</v>
      </c>
      <c r="D10" s="7" t="str">
        <f>VLOOKUP(C10, Dept_Lookup!$A$2:$B$17, 2, FALSE)</f>
        <v>Mechanical</v>
      </c>
      <c r="E10" s="6">
        <v>77.0</v>
      </c>
      <c r="F10" s="6">
        <v>90.0</v>
      </c>
      <c r="G10" s="6">
        <v>82.0</v>
      </c>
      <c r="H10" s="8">
        <v>0.79</v>
      </c>
      <c r="I10" s="7">
        <v>45874.0</v>
      </c>
      <c r="J10" s="6" t="s">
        <v>32</v>
      </c>
      <c r="K10" s="8">
        <v>0.84</v>
      </c>
      <c r="L10" s="9">
        <f>E10*Scoring_Weights!$B$2 + F10*Scoring_Weights!$B$3 + G10*Scoring_Weights!$B$4</f>
        <v>84.05</v>
      </c>
      <c r="M10" s="6" t="str">
        <f>IF(AND(H10&gt;=(VLOOKUP(J10,Interview_Slots!$A$2:$D$5,4,FALSE)/100), L10&gt;=VLOOKUP(J10,Interview_Slots!$A$2:$D$5,3,FALSE)), "Eligible", "Not Eligible")</f>
        <v>Eligible</v>
      </c>
    </row>
    <row r="11">
      <c r="A11" s="6" t="s">
        <v>45</v>
      </c>
      <c r="B11" s="6" t="s">
        <v>46</v>
      </c>
      <c r="C11" s="6" t="s">
        <v>47</v>
      </c>
      <c r="D11" s="7" t="str">
        <f>VLOOKUP(C11, Dept_Lookup!$A$2:$B$17, 2, FALSE)</f>
        <v>Mechanical</v>
      </c>
      <c r="E11" s="6">
        <v>66.0</v>
      </c>
      <c r="F11" s="6">
        <v>73.0</v>
      </c>
      <c r="G11" s="6">
        <v>88.0</v>
      </c>
      <c r="H11" s="8">
        <v>0.68</v>
      </c>
      <c r="I11" s="7">
        <v>45877.0</v>
      </c>
      <c r="J11" s="6" t="s">
        <v>17</v>
      </c>
      <c r="K11" s="10">
        <v>0.65</v>
      </c>
      <c r="L11" s="9">
        <f>E11*Scoring_Weights!$B$2 + F11*Scoring_Weights!$B$3 + G11*Scoring_Weights!$B$4</f>
        <v>79.45</v>
      </c>
      <c r="M11" s="6" t="str">
        <f>IF(AND(H11&gt;=(VLOOKUP(J11,Interview_Slots!$A$2:$D$5,4,FALSE)/100), L11&gt;=VLOOKUP(J11,Interview_Slots!$A$2:$D$5,3,FALSE)), "Eligible", "Not Eligible")</f>
        <v>Not Eligible</v>
      </c>
    </row>
    <row r="12">
      <c r="A12" s="6" t="s">
        <v>48</v>
      </c>
      <c r="B12" s="6" t="s">
        <v>49</v>
      </c>
      <c r="C12" s="6" t="s">
        <v>50</v>
      </c>
      <c r="D12" s="7" t="str">
        <f>VLOOKUP(C12, Dept_Lookup!$A$2:$B$17, 2, FALSE)</f>
        <v>Mechanical</v>
      </c>
      <c r="E12" s="6">
        <v>93.0</v>
      </c>
      <c r="F12" s="6">
        <v>78.0</v>
      </c>
      <c r="G12" s="6">
        <v>62.0</v>
      </c>
      <c r="H12" s="8">
        <v>0.85</v>
      </c>
      <c r="I12" s="7">
        <v>45913.0</v>
      </c>
      <c r="J12" s="6" t="s">
        <v>21</v>
      </c>
      <c r="K12" s="8">
        <v>0.96</v>
      </c>
      <c r="L12" s="9">
        <f>E12*Scoring_Weights!$B$2 + F12*Scoring_Weights!$B$3 + G12*Scoring_Weights!$B$4</f>
        <v>72.25</v>
      </c>
      <c r="M12" s="6" t="str">
        <f>IF(AND(H12&gt;=(VLOOKUP(J12,Interview_Slots!$A$2:$D$5,4,FALSE)/100), L12&gt;=VLOOKUP(J12,Interview_Slots!$A$2:$D$5,3,FALSE)), "Eligible", "Not Eligible")</f>
        <v>Eligible</v>
      </c>
    </row>
    <row r="13">
      <c r="A13" s="6" t="s">
        <v>51</v>
      </c>
      <c r="B13" s="6" t="s">
        <v>52</v>
      </c>
      <c r="C13" s="6" t="s">
        <v>53</v>
      </c>
      <c r="D13" s="7" t="str">
        <f>VLOOKUP(C13, Dept_Lookup!$A$2:$B$17, 2, FALSE)</f>
        <v>Mechanical</v>
      </c>
      <c r="E13" s="6">
        <v>97.0</v>
      </c>
      <c r="F13" s="6">
        <v>62.0</v>
      </c>
      <c r="G13" s="6">
        <v>91.0</v>
      </c>
      <c r="H13" s="8">
        <v>0.94</v>
      </c>
      <c r="I13" s="7">
        <v>45847.0</v>
      </c>
      <c r="J13" s="6" t="s">
        <v>17</v>
      </c>
      <c r="K13" s="8">
        <v>0.77</v>
      </c>
      <c r="L13" s="9">
        <f>E13*Scoring_Weights!$B$2 + F13*Scoring_Weights!$B$3 + G13*Scoring_Weights!$B$4</f>
        <v>81.75</v>
      </c>
      <c r="M13" s="6" t="str">
        <f>IF(AND(H13&gt;=(VLOOKUP(J13,Interview_Slots!$A$2:$D$5,4,FALSE)/100), L13&gt;=VLOOKUP(J13,Interview_Slots!$A$2:$D$5,3,FALSE)), "Eligible", "Not Eligible")</f>
        <v>Eligible</v>
      </c>
    </row>
    <row r="14">
      <c r="A14" s="6" t="s">
        <v>54</v>
      </c>
      <c r="B14" s="6" t="s">
        <v>55</v>
      </c>
      <c r="C14" s="6" t="s">
        <v>56</v>
      </c>
      <c r="D14" s="7" t="str">
        <f>VLOOKUP(C14, Dept_Lookup!$A$2:$B$17, 2, FALSE)</f>
        <v>Civil</v>
      </c>
      <c r="E14" s="6">
        <v>83.0</v>
      </c>
      <c r="F14" s="6">
        <v>57.0</v>
      </c>
      <c r="G14" s="6">
        <v>90.0</v>
      </c>
      <c r="H14" s="8">
        <v>0.61</v>
      </c>
      <c r="I14" s="7">
        <v>45866.0</v>
      </c>
      <c r="J14" s="6" t="s">
        <v>32</v>
      </c>
      <c r="K14" s="8">
        <v>0.73</v>
      </c>
      <c r="L14" s="9">
        <f>E14*Scoring_Weights!$B$2 + F14*Scoring_Weights!$B$3 + G14*Scoring_Weights!$B$4</f>
        <v>77.4</v>
      </c>
      <c r="M14" s="6" t="str">
        <f>IF(AND(H14&gt;=(VLOOKUP(J14,Interview_Slots!$A$2:$D$5,4,FALSE)/100), L14&gt;=VLOOKUP(J14,Interview_Slots!$A$2:$D$5,3,FALSE)), "Eligible", "Not Eligible")</f>
        <v>Not Eligible</v>
      </c>
    </row>
    <row r="15">
      <c r="A15" s="6" t="s">
        <v>57</v>
      </c>
      <c r="B15" s="6" t="s">
        <v>58</v>
      </c>
      <c r="C15" s="6" t="s">
        <v>59</v>
      </c>
      <c r="D15" s="7" t="str">
        <f>VLOOKUP(C15, Dept_Lookup!$A$2:$B$17, 2, FALSE)</f>
        <v>Civil</v>
      </c>
      <c r="E15" s="6">
        <v>60.0</v>
      </c>
      <c r="F15" s="6">
        <v>61.0</v>
      </c>
      <c r="G15" s="6">
        <v>97.0</v>
      </c>
      <c r="H15" s="8">
        <v>0.82</v>
      </c>
      <c r="I15" s="7">
        <v>45847.0</v>
      </c>
      <c r="J15" s="6" t="s">
        <v>17</v>
      </c>
      <c r="K15" s="8">
        <v>0.85</v>
      </c>
      <c r="L15" s="9">
        <f>E15*Scoring_Weights!$B$2 + F15*Scoring_Weights!$B$3 + G15*Scoring_Weights!$B$4</f>
        <v>78.85</v>
      </c>
      <c r="M15" s="6" t="str">
        <f>IF(AND(H15&gt;=(VLOOKUP(J15,Interview_Slots!$A$2:$D$5,4,FALSE)/100), L15&gt;=VLOOKUP(J15,Interview_Slots!$A$2:$D$5,3,FALSE)), "Eligible", "Not Eligible")</f>
        <v>Eligible</v>
      </c>
    </row>
    <row r="16">
      <c r="A16" s="6" t="s">
        <v>60</v>
      </c>
      <c r="B16" s="6" t="s">
        <v>61</v>
      </c>
      <c r="C16" s="6" t="s">
        <v>62</v>
      </c>
      <c r="D16" s="7" t="str">
        <f>VLOOKUP(C16, Dept_Lookup!$A$2:$B$17, 2, FALSE)</f>
        <v>Civil</v>
      </c>
      <c r="E16" s="6">
        <v>60.0</v>
      </c>
      <c r="F16" s="6">
        <v>87.0</v>
      </c>
      <c r="G16" s="6">
        <v>87.0</v>
      </c>
      <c r="H16" s="8">
        <v>0.66</v>
      </c>
      <c r="I16" s="7">
        <v>45842.0</v>
      </c>
      <c r="J16" s="6" t="s">
        <v>21</v>
      </c>
      <c r="K16" s="10">
        <v>0.69</v>
      </c>
      <c r="L16" s="9">
        <f>E16*Scoring_Weights!$B$2 + F16*Scoring_Weights!$B$3 + G16*Scoring_Weights!$B$4</f>
        <v>82.95</v>
      </c>
      <c r="M16" s="6" t="str">
        <f>IF(AND(H16&gt;=(VLOOKUP(J16,Interview_Slots!$A$2:$D$5,4,FALSE)/100), L16&gt;=VLOOKUP(J16,Interview_Slots!$A$2:$D$5,3,FALSE)), "Eligible", "Not Eligible")</f>
        <v>Not Eligible</v>
      </c>
    </row>
    <row r="17">
      <c r="A17" s="6" t="s">
        <v>63</v>
      </c>
      <c r="B17" s="6" t="s">
        <v>64</v>
      </c>
      <c r="C17" s="6" t="s">
        <v>65</v>
      </c>
      <c r="D17" s="7" t="str">
        <f>VLOOKUP(C17, Dept_Lookup!$A$2:$B$17, 2, FALSE)</f>
        <v>Civil</v>
      </c>
      <c r="E17" s="6">
        <v>73.0</v>
      </c>
      <c r="F17" s="6">
        <v>84.0</v>
      </c>
      <c r="G17" s="6">
        <v>80.0</v>
      </c>
      <c r="H17" s="8">
        <v>0.83</v>
      </c>
      <c r="I17" s="7">
        <v>45887.0</v>
      </c>
      <c r="J17" s="6" t="s">
        <v>21</v>
      </c>
      <c r="K17" s="8">
        <v>0.92</v>
      </c>
      <c r="L17" s="9">
        <f>E17*Scoring_Weights!$B$2 + F17*Scoring_Weights!$B$3 + G17*Scoring_Weights!$B$4</f>
        <v>80.35</v>
      </c>
      <c r="M17" s="6" t="str">
        <f>IF(AND(H17&gt;=(VLOOKUP(J17,Interview_Slots!$A$2:$D$5,4,FALSE)/100), L17&gt;=VLOOKUP(J17,Interview_Slots!$A$2:$D$5,3,FALSE)), "Eligible", "Not Eligible")</f>
        <v>Eligible</v>
      </c>
    </row>
    <row r="18">
      <c r="A18" s="6" t="s">
        <v>66</v>
      </c>
      <c r="B18" s="6" t="s">
        <v>67</v>
      </c>
      <c r="C18" s="6" t="s">
        <v>16</v>
      </c>
      <c r="D18" s="7" t="str">
        <f>VLOOKUP(C18, Dept_Lookup!$A$2:$B$17, 2, FALSE)</f>
        <v>Computer Science</v>
      </c>
      <c r="E18" s="6">
        <v>63.0</v>
      </c>
      <c r="F18" s="6">
        <v>92.0</v>
      </c>
      <c r="G18" s="6">
        <v>64.0</v>
      </c>
      <c r="H18" s="8">
        <v>0.78</v>
      </c>
      <c r="I18" s="7">
        <v>45854.0</v>
      </c>
      <c r="J18" s="6" t="s">
        <v>21</v>
      </c>
      <c r="K18" s="8">
        <v>0.87</v>
      </c>
      <c r="L18" s="9">
        <f>E18*Scoring_Weights!$B$2 + F18*Scoring_Weights!$B$3 + G18*Scoring_Weights!$B$4</f>
        <v>73.65</v>
      </c>
      <c r="M18" s="6" t="str">
        <f>IF(AND(H18&gt;=(VLOOKUP(J18,Interview_Slots!$A$2:$D$5,4,FALSE)/100), L18&gt;=VLOOKUP(J18,Interview_Slots!$A$2:$D$5,3,FALSE)), "Eligible", "Not Eligible")</f>
        <v>Not Eligible</v>
      </c>
    </row>
    <row r="19">
      <c r="A19" s="6" t="s">
        <v>68</v>
      </c>
      <c r="B19" s="6" t="s">
        <v>69</v>
      </c>
      <c r="C19" s="6" t="s">
        <v>20</v>
      </c>
      <c r="D19" s="7" t="str">
        <f>VLOOKUP(C19, Dept_Lookup!$A$2:$B$17, 2, FALSE)</f>
        <v>Computer Science</v>
      </c>
      <c r="E19" s="6">
        <v>93.0</v>
      </c>
      <c r="F19" s="6">
        <v>71.0</v>
      </c>
      <c r="G19" s="6">
        <v>87.0</v>
      </c>
      <c r="H19" s="8">
        <v>0.77</v>
      </c>
      <c r="I19" s="7">
        <v>45880.0</v>
      </c>
      <c r="J19" s="6" t="s">
        <v>25</v>
      </c>
      <c r="K19" s="8">
        <v>0.78</v>
      </c>
      <c r="L19" s="9">
        <f>E19*Scoring_Weights!$B$2 + F19*Scoring_Weights!$B$3 + G19*Scoring_Weights!$B$4</f>
        <v>82.3</v>
      </c>
      <c r="M19" s="6" t="str">
        <f>IF(AND(H19&gt;=(VLOOKUP(J19,Interview_Slots!$A$2:$D$5,4,FALSE)/100), L19&gt;=VLOOKUP(J19,Interview_Slots!$A$2:$D$5,3,FALSE)), "Eligible", "Not Eligible")</f>
        <v>Not Eligible</v>
      </c>
    </row>
    <row r="20">
      <c r="A20" s="6" t="s">
        <v>70</v>
      </c>
      <c r="B20" s="6" t="s">
        <v>71</v>
      </c>
      <c r="C20" s="6" t="s">
        <v>24</v>
      </c>
      <c r="D20" s="7" t="str">
        <f>VLOOKUP(C20, Dept_Lookup!$A$2:$B$17, 2, FALSE)</f>
        <v>Computer Science</v>
      </c>
      <c r="E20" s="6">
        <v>82.0</v>
      </c>
      <c r="F20" s="6">
        <v>70.0</v>
      </c>
      <c r="G20" s="6">
        <v>66.0</v>
      </c>
      <c r="H20" s="8">
        <v>0.94</v>
      </c>
      <c r="I20" s="7">
        <v>45880.0</v>
      </c>
      <c r="J20" s="6" t="s">
        <v>25</v>
      </c>
      <c r="K20" s="8">
        <v>0.78</v>
      </c>
      <c r="L20" s="9">
        <f>E20*Scoring_Weights!$B$2 + F20*Scoring_Weights!$B$3 + G20*Scoring_Weights!$B$4</f>
        <v>69.8</v>
      </c>
      <c r="M20" s="6" t="str">
        <f>IF(AND(H20&gt;=(VLOOKUP(J20,Interview_Slots!$A$2:$D$5,4,FALSE)/100), L20&gt;=VLOOKUP(J20,Interview_Slots!$A$2:$D$5,3,FALSE)), "Eligible", "Not Eligible")</f>
        <v>Not Eligible</v>
      </c>
    </row>
    <row r="21">
      <c r="A21" s="6" t="s">
        <v>72</v>
      </c>
      <c r="B21" s="6" t="s">
        <v>73</v>
      </c>
      <c r="C21" s="6" t="s">
        <v>28</v>
      </c>
      <c r="D21" s="7" t="str">
        <f>VLOOKUP(C21, Dept_Lookup!$A$2:$B$17, 2, FALSE)</f>
        <v>Computer Science</v>
      </c>
      <c r="E21" s="6">
        <v>84.0</v>
      </c>
      <c r="F21" s="6">
        <v>79.0</v>
      </c>
      <c r="G21" s="6">
        <v>66.0</v>
      </c>
      <c r="H21" s="8">
        <v>0.77</v>
      </c>
      <c r="I21" s="7">
        <v>45919.0</v>
      </c>
      <c r="J21" s="6" t="s">
        <v>25</v>
      </c>
      <c r="K21" s="8">
        <v>0.96</v>
      </c>
      <c r="L21" s="9">
        <f>E21*Scoring_Weights!$B$2 + F21*Scoring_Weights!$B$3 + G21*Scoring_Weights!$B$4</f>
        <v>73.25</v>
      </c>
      <c r="M21" s="6" t="str">
        <f>IF(AND(H21&gt;=(VLOOKUP(J21,Interview_Slots!$A$2:$D$5,4,FALSE)/100), L21&gt;=VLOOKUP(J21,Interview_Slots!$A$2:$D$5,3,FALSE)), "Eligible", "Not Eligible")</f>
        <v>Not Eligible</v>
      </c>
    </row>
    <row r="22">
      <c r="A22" s="6" t="s">
        <v>74</v>
      </c>
      <c r="B22" s="6" t="s">
        <v>75</v>
      </c>
      <c r="C22" s="6" t="s">
        <v>31</v>
      </c>
      <c r="D22" s="7" t="str">
        <f>VLOOKUP(C22, Dept_Lookup!$A$2:$B$17, 2, FALSE)</f>
        <v>Electronics</v>
      </c>
      <c r="E22" s="6">
        <v>98.0</v>
      </c>
      <c r="F22" s="6">
        <v>56.0</v>
      </c>
      <c r="G22" s="6">
        <v>95.0</v>
      </c>
      <c r="H22" s="8">
        <v>0.87</v>
      </c>
      <c r="I22" s="7">
        <v>45887.0</v>
      </c>
      <c r="J22" s="6" t="s">
        <v>17</v>
      </c>
      <c r="K22" s="8">
        <v>1.0</v>
      </c>
      <c r="L22" s="9">
        <f>E22*Scoring_Weights!$B$2 + F22*Scoring_Weights!$B$3 + G22*Scoring_Weights!$B$4</f>
        <v>81.8</v>
      </c>
      <c r="M22" s="6" t="str">
        <f>IF(AND(H22&gt;=(VLOOKUP(J22,Interview_Slots!$A$2:$D$5,4,FALSE)/100), L22&gt;=VLOOKUP(J22,Interview_Slots!$A$2:$D$5,3,FALSE)), "Eligible", "Not Eligible")</f>
        <v>Eligible</v>
      </c>
    </row>
    <row r="23">
      <c r="A23" s="6" t="s">
        <v>76</v>
      </c>
      <c r="B23" s="6" t="s">
        <v>77</v>
      </c>
      <c r="C23" s="6" t="s">
        <v>35</v>
      </c>
      <c r="D23" s="7" t="str">
        <f>VLOOKUP(C23, Dept_Lookup!$A$2:$B$17, 2, FALSE)</f>
        <v>Electronics</v>
      </c>
      <c r="E23" s="6">
        <v>73.0</v>
      </c>
      <c r="F23" s="6">
        <v>95.0</v>
      </c>
      <c r="G23" s="6">
        <v>85.0</v>
      </c>
      <c r="H23" s="8">
        <v>0.89</v>
      </c>
      <c r="I23" s="7">
        <v>45900.0</v>
      </c>
      <c r="J23" s="6" t="s">
        <v>32</v>
      </c>
      <c r="K23" s="8">
        <v>0.93</v>
      </c>
      <c r="L23" s="9">
        <f>E23*Scoring_Weights!$B$2 + F23*Scoring_Weights!$B$3 + G23*Scoring_Weights!$B$4</f>
        <v>86.7</v>
      </c>
      <c r="M23" s="6" t="str">
        <f>IF(AND(H23&gt;=(VLOOKUP(J23,Interview_Slots!$A$2:$D$5,4,FALSE)/100), L23&gt;=VLOOKUP(J23,Interview_Slots!$A$2:$D$5,3,FALSE)), "Eligible", "Not Eligible")</f>
        <v>Eligible</v>
      </c>
    </row>
    <row r="24">
      <c r="A24" s="6" t="s">
        <v>78</v>
      </c>
      <c r="B24" s="6" t="s">
        <v>79</v>
      </c>
      <c r="C24" s="6" t="s">
        <v>38</v>
      </c>
      <c r="D24" s="7" t="str">
        <f>VLOOKUP(C24, Dept_Lookup!$A$2:$B$17, 2, FALSE)</f>
        <v>Electronics</v>
      </c>
      <c r="E24" s="6">
        <v>73.0</v>
      </c>
      <c r="F24" s="6">
        <v>90.0</v>
      </c>
      <c r="G24" s="6">
        <v>70.0</v>
      </c>
      <c r="H24" s="8">
        <v>0.8</v>
      </c>
      <c r="I24" s="7">
        <v>45865.0</v>
      </c>
      <c r="J24" s="6" t="s">
        <v>17</v>
      </c>
      <c r="K24" s="8">
        <v>0.93</v>
      </c>
      <c r="L24" s="9">
        <f>E24*Scoring_Weights!$B$2 + F24*Scoring_Weights!$B$3 + G24*Scoring_Weights!$B$4</f>
        <v>77.45</v>
      </c>
      <c r="M24" s="6" t="str">
        <f>IF(AND(H24&gt;=(VLOOKUP(J24,Interview_Slots!$A$2:$D$5,4,FALSE)/100), L24&gt;=VLOOKUP(J24,Interview_Slots!$A$2:$D$5,3,FALSE)), "Eligible", "Not Eligible")</f>
        <v>Eligible</v>
      </c>
    </row>
    <row r="25">
      <c r="A25" s="6" t="s">
        <v>80</v>
      </c>
      <c r="B25" s="6" t="s">
        <v>81</v>
      </c>
      <c r="C25" s="6" t="s">
        <v>41</v>
      </c>
      <c r="D25" s="7" t="str">
        <f>VLOOKUP(C25, Dept_Lookup!$A$2:$B$17, 2, FALSE)</f>
        <v>Electronics</v>
      </c>
      <c r="E25" s="6">
        <v>79.0</v>
      </c>
      <c r="F25" s="6">
        <v>74.0</v>
      </c>
      <c r="G25" s="6">
        <v>89.0</v>
      </c>
      <c r="H25" s="8">
        <v>0.95</v>
      </c>
      <c r="I25" s="7">
        <v>45870.0</v>
      </c>
      <c r="J25" s="6" t="s">
        <v>21</v>
      </c>
      <c r="K25" s="8">
        <v>0.89</v>
      </c>
      <c r="L25" s="9">
        <f>E25*Scoring_Weights!$B$2 + F25*Scoring_Weights!$B$3 + G25*Scoring_Weights!$B$4</f>
        <v>82.25</v>
      </c>
      <c r="M25" s="6" t="str">
        <f>IF(AND(H25&gt;=(VLOOKUP(J25,Interview_Slots!$A$2:$D$5,4,FALSE)/100), L25&gt;=VLOOKUP(J25,Interview_Slots!$A$2:$D$5,3,FALSE)), "Eligible", "Not Eligible")</f>
        <v>Eligible</v>
      </c>
    </row>
    <row r="26">
      <c r="A26" s="6" t="s">
        <v>82</v>
      </c>
      <c r="B26" s="6" t="s">
        <v>83</v>
      </c>
      <c r="C26" s="6" t="s">
        <v>44</v>
      </c>
      <c r="D26" s="7" t="str">
        <f>VLOOKUP(C26, Dept_Lookup!$A$2:$B$17, 2, FALSE)</f>
        <v>Mechanical</v>
      </c>
      <c r="E26" s="6">
        <v>92.0</v>
      </c>
      <c r="F26" s="6">
        <v>92.0</v>
      </c>
      <c r="G26" s="6">
        <v>75.0</v>
      </c>
      <c r="H26" s="8">
        <v>0.82</v>
      </c>
      <c r="I26" s="7">
        <v>45895.0</v>
      </c>
      <c r="J26" s="6" t="s">
        <v>32</v>
      </c>
      <c r="K26" s="8">
        <v>0.81</v>
      </c>
      <c r="L26" s="9">
        <f>E26*Scoring_Weights!$B$2 + F26*Scoring_Weights!$B$3 + G26*Scoring_Weights!$B$4</f>
        <v>83.5</v>
      </c>
      <c r="M26" s="6" t="str">
        <f>IF(AND(H26&gt;=(VLOOKUP(J26,Interview_Slots!$A$2:$D$5,4,FALSE)/100), L26&gt;=VLOOKUP(J26,Interview_Slots!$A$2:$D$5,3,FALSE)), "Eligible", "Not Eligible")</f>
        <v>Eligible</v>
      </c>
    </row>
    <row r="27">
      <c r="A27" s="6" t="s">
        <v>84</v>
      </c>
      <c r="B27" s="6" t="s">
        <v>85</v>
      </c>
      <c r="C27" s="6" t="s">
        <v>47</v>
      </c>
      <c r="D27" s="7" t="str">
        <f>VLOOKUP(C27, Dept_Lookup!$A$2:$B$17, 2, FALSE)</f>
        <v>Mechanical</v>
      </c>
      <c r="E27" s="6">
        <v>69.0</v>
      </c>
      <c r="F27" s="6">
        <v>73.0</v>
      </c>
      <c r="G27" s="6">
        <v>86.0</v>
      </c>
      <c r="H27" s="8">
        <v>0.85</v>
      </c>
      <c r="I27" s="7">
        <v>45893.0</v>
      </c>
      <c r="J27" s="6" t="s">
        <v>32</v>
      </c>
      <c r="K27" s="8">
        <v>0.84</v>
      </c>
      <c r="L27" s="9">
        <f>E27*Scoring_Weights!$B$2 + F27*Scoring_Weights!$B$3 + G27*Scoring_Weights!$B$4</f>
        <v>78.9</v>
      </c>
      <c r="M27" s="6" t="str">
        <f>IF(AND(H27&gt;=(VLOOKUP(J27,Interview_Slots!$A$2:$D$5,4,FALSE)/100), L27&gt;=VLOOKUP(J27,Interview_Slots!$A$2:$D$5,3,FALSE)), "Eligible", "Not Eligible")</f>
        <v>Eligible</v>
      </c>
    </row>
    <row r="28">
      <c r="A28" s="6" t="s">
        <v>86</v>
      </c>
      <c r="B28" s="6" t="s">
        <v>87</v>
      </c>
      <c r="C28" s="6" t="s">
        <v>50</v>
      </c>
      <c r="D28" s="7" t="str">
        <f>VLOOKUP(C28, Dept_Lookup!$A$2:$B$17, 2, FALSE)</f>
        <v>Mechanical</v>
      </c>
      <c r="E28" s="6">
        <v>82.0</v>
      </c>
      <c r="F28" s="6">
        <v>55.0</v>
      </c>
      <c r="G28" s="6">
        <v>66.0</v>
      </c>
      <c r="H28" s="8">
        <v>0.8</v>
      </c>
      <c r="I28" s="7">
        <v>45887.0</v>
      </c>
      <c r="J28" s="6" t="s">
        <v>17</v>
      </c>
      <c r="K28" s="8">
        <v>0.91</v>
      </c>
      <c r="L28" s="9">
        <f>E28*Scoring_Weights!$B$2 + F28*Scoring_Weights!$B$3 + G28*Scoring_Weights!$B$4</f>
        <v>64.55</v>
      </c>
      <c r="M28" s="6" t="str">
        <f>IF(AND(H28&gt;=(VLOOKUP(J28,Interview_Slots!$A$2:$D$5,4,FALSE)/100), L28&gt;=VLOOKUP(J28,Interview_Slots!$A$2:$D$5,3,FALSE)), "Eligible", "Not Eligible")</f>
        <v>Eligible</v>
      </c>
    </row>
    <row r="29">
      <c r="A29" s="6" t="s">
        <v>88</v>
      </c>
      <c r="B29" s="6" t="s">
        <v>89</v>
      </c>
      <c r="C29" s="6" t="s">
        <v>53</v>
      </c>
      <c r="D29" s="7" t="str">
        <f>VLOOKUP(C29, Dept_Lookup!$A$2:$B$17, 2, FALSE)</f>
        <v>Mechanical</v>
      </c>
      <c r="E29" s="6">
        <v>56.0</v>
      </c>
      <c r="F29" s="6">
        <v>85.0</v>
      </c>
      <c r="G29" s="6">
        <v>97.0</v>
      </c>
      <c r="H29" s="8">
        <v>0.83</v>
      </c>
      <c r="I29" s="7">
        <v>45865.0</v>
      </c>
      <c r="J29" s="6" t="s">
        <v>21</v>
      </c>
      <c r="K29" s="8">
        <v>0.83</v>
      </c>
      <c r="L29" s="9">
        <f>E29*Scoring_Weights!$B$2 + F29*Scoring_Weights!$B$3 + G29*Scoring_Weights!$B$4</f>
        <v>86.65</v>
      </c>
      <c r="M29" s="6" t="str">
        <f>IF(AND(H29&gt;=(VLOOKUP(J29,Interview_Slots!$A$2:$D$5,4,FALSE)/100), L29&gt;=VLOOKUP(J29,Interview_Slots!$A$2:$D$5,3,FALSE)), "Eligible", "Not Eligible")</f>
        <v>Eligible</v>
      </c>
    </row>
    <row r="30">
      <c r="A30" s="6" t="s">
        <v>90</v>
      </c>
      <c r="B30" s="6" t="s">
        <v>91</v>
      </c>
      <c r="C30" s="6" t="s">
        <v>56</v>
      </c>
      <c r="D30" s="7" t="str">
        <f>VLOOKUP(C30, Dept_Lookup!$A$2:$B$17, 2, FALSE)</f>
        <v>Civil</v>
      </c>
      <c r="E30" s="6">
        <v>87.0</v>
      </c>
      <c r="F30" s="6">
        <v>76.0</v>
      </c>
      <c r="G30" s="6">
        <v>93.0</v>
      </c>
      <c r="H30" s="8">
        <v>0.79</v>
      </c>
      <c r="I30" s="7">
        <v>45882.0</v>
      </c>
      <c r="J30" s="6" t="s">
        <v>21</v>
      </c>
      <c r="K30" s="8">
        <v>0.76</v>
      </c>
      <c r="L30" s="9">
        <f>E30*Scoring_Weights!$B$2 + F30*Scoring_Weights!$B$3 + G30*Scoring_Weights!$B$4</f>
        <v>86.15</v>
      </c>
      <c r="M30" s="6" t="str">
        <f>IF(AND(H30&gt;=(VLOOKUP(J30,Interview_Slots!$A$2:$D$5,4,FALSE)/100), L30&gt;=VLOOKUP(J30,Interview_Slots!$A$2:$D$5,3,FALSE)), "Eligible", "Not Eligible")</f>
        <v>Not Eligible</v>
      </c>
    </row>
    <row r="31">
      <c r="A31" s="6" t="s">
        <v>92</v>
      </c>
      <c r="B31" s="6" t="s">
        <v>93</v>
      </c>
      <c r="C31" s="6" t="s">
        <v>59</v>
      </c>
      <c r="D31" s="7" t="str">
        <f>VLOOKUP(C31, Dept_Lookup!$A$2:$B$17, 2, FALSE)</f>
        <v>Civil</v>
      </c>
      <c r="E31" s="6">
        <v>95.0</v>
      </c>
      <c r="F31" s="6">
        <v>79.0</v>
      </c>
      <c r="G31" s="6">
        <v>95.0</v>
      </c>
      <c r="H31" s="8">
        <v>0.8</v>
      </c>
      <c r="I31" s="7">
        <v>45865.0</v>
      </c>
      <c r="J31" s="6" t="s">
        <v>21</v>
      </c>
      <c r="K31" s="8">
        <v>0.79</v>
      </c>
      <c r="L31" s="9">
        <f>E31*Scoring_Weights!$B$2 + F31*Scoring_Weights!$B$3 + G31*Scoring_Weights!$B$4</f>
        <v>89.4</v>
      </c>
      <c r="M31" s="6" t="str">
        <f>IF(AND(H31&gt;=(VLOOKUP(J31,Interview_Slots!$A$2:$D$5,4,FALSE)/100), L31&gt;=VLOOKUP(J31,Interview_Slots!$A$2:$D$5,3,FALSE)), "Eligible", "Not Eligible")</f>
        <v>Eligible</v>
      </c>
    </row>
    <row r="32">
      <c r="A32" s="6" t="s">
        <v>94</v>
      </c>
      <c r="B32" s="6" t="s">
        <v>95</v>
      </c>
      <c r="C32" s="6" t="s">
        <v>62</v>
      </c>
      <c r="D32" s="7" t="str">
        <f>VLOOKUP(C32, Dept_Lookup!$A$2:$B$17, 2, FALSE)</f>
        <v>Civil</v>
      </c>
      <c r="E32" s="6">
        <v>96.0</v>
      </c>
      <c r="F32" s="6">
        <v>76.0</v>
      </c>
      <c r="G32" s="6">
        <v>86.0</v>
      </c>
      <c r="H32" s="8">
        <v>0.85</v>
      </c>
      <c r="I32" s="7">
        <v>45880.0</v>
      </c>
      <c r="J32" s="6" t="s">
        <v>25</v>
      </c>
      <c r="K32" s="8">
        <v>0.76</v>
      </c>
      <c r="L32" s="9">
        <f>E32*Scoring_Weights!$B$2 + F32*Scoring_Weights!$B$3 + G32*Scoring_Weights!$B$4</f>
        <v>84</v>
      </c>
      <c r="M32" s="6" t="str">
        <f>IF(AND(H32&gt;=(VLOOKUP(J32,Interview_Slots!$A$2:$D$5,4,FALSE)/100), L32&gt;=VLOOKUP(J32,Interview_Slots!$A$2:$D$5,3,FALSE)), "Eligible", "Not Eligible")</f>
        <v>Eligible</v>
      </c>
    </row>
    <row r="33">
      <c r="A33" s="6" t="s">
        <v>96</v>
      </c>
      <c r="B33" s="6" t="s">
        <v>97</v>
      </c>
      <c r="C33" s="6" t="s">
        <v>16</v>
      </c>
      <c r="D33" s="7" t="str">
        <f>VLOOKUP(C33, Dept_Lookup!$A$2:$B$17, 2, FALSE)</f>
        <v>Computer Science</v>
      </c>
      <c r="E33" s="6">
        <v>67.0</v>
      </c>
      <c r="F33" s="6">
        <v>85.0</v>
      </c>
      <c r="G33" s="6">
        <v>96.0</v>
      </c>
      <c r="H33" s="8">
        <v>0.92</v>
      </c>
      <c r="I33" s="11">
        <v>45898.0</v>
      </c>
      <c r="J33" s="6" t="s">
        <v>25</v>
      </c>
      <c r="K33" s="8">
        <v>0.89</v>
      </c>
      <c r="L33" s="9">
        <f>E33*Scoring_Weights!$B$2 + F33*Scoring_Weights!$B$3 + G33*Scoring_Weights!$B$4</f>
        <v>87.8</v>
      </c>
      <c r="M33" s="6" t="str">
        <f>IF(AND(H33&gt;=(VLOOKUP(J33,Interview_Slots!$A$2:$D$5,4,FALSE)/100), L33&gt;=VLOOKUP(J33,Interview_Slots!$A$2:$D$5,3,FALSE)), "Eligible", "Not Eligible")</f>
        <v>Eligible</v>
      </c>
    </row>
    <row r="34">
      <c r="A34" s="6" t="s">
        <v>98</v>
      </c>
      <c r="B34" s="6" t="s">
        <v>99</v>
      </c>
      <c r="C34" s="6" t="s">
        <v>20</v>
      </c>
      <c r="D34" s="7" t="str">
        <f>VLOOKUP(C34, Dept_Lookup!$A$2:$B$17, 2, FALSE)</f>
        <v>Computer Science</v>
      </c>
      <c r="E34" s="6">
        <v>57.0</v>
      </c>
      <c r="F34" s="6">
        <v>72.0</v>
      </c>
      <c r="G34" s="6">
        <v>88.0</v>
      </c>
      <c r="H34" s="8">
        <v>0.85</v>
      </c>
      <c r="I34" s="7">
        <v>45919.0</v>
      </c>
      <c r="J34" s="6" t="s">
        <v>25</v>
      </c>
      <c r="K34" s="8">
        <v>0.8</v>
      </c>
      <c r="L34" s="9">
        <f>E34*Scoring_Weights!$B$2 + F34*Scoring_Weights!$B$3 + G34*Scoring_Weights!$B$4</f>
        <v>77.75</v>
      </c>
      <c r="M34" s="6" t="str">
        <f>IF(AND(H34&gt;=(VLOOKUP(J34,Interview_Slots!$A$2:$D$5,4,FALSE)/100), L34&gt;=VLOOKUP(J34,Interview_Slots!$A$2:$D$5,3,FALSE)), "Eligible", "Not Eligible")</f>
        <v>Eligible</v>
      </c>
    </row>
    <row r="35">
      <c r="A35" s="6" t="s">
        <v>100</v>
      </c>
      <c r="B35" s="6" t="s">
        <v>101</v>
      </c>
      <c r="C35" s="6" t="s">
        <v>24</v>
      </c>
      <c r="D35" s="7" t="str">
        <f>VLOOKUP(C35, Dept_Lookup!$A$2:$B$17, 2, FALSE)</f>
        <v>Computer Science</v>
      </c>
      <c r="E35" s="6">
        <v>70.0</v>
      </c>
      <c r="F35" s="6">
        <v>75.0</v>
      </c>
      <c r="G35" s="6">
        <v>89.0</v>
      </c>
      <c r="H35" s="8">
        <v>0.95</v>
      </c>
      <c r="I35" s="7">
        <v>45900.0</v>
      </c>
      <c r="J35" s="6" t="s">
        <v>17</v>
      </c>
      <c r="K35" s="8">
        <v>0.88</v>
      </c>
      <c r="L35" s="9">
        <f>E35*Scoring_Weights!$B$2 + F35*Scoring_Weights!$B$3 + G35*Scoring_Weights!$B$4</f>
        <v>81.25</v>
      </c>
      <c r="M35" s="6" t="str">
        <f>IF(AND(H35&gt;=(VLOOKUP(J35,Interview_Slots!$A$2:$D$5,4,FALSE)/100), L35&gt;=VLOOKUP(J35,Interview_Slots!$A$2:$D$5,3,FALSE)), "Eligible", "Not Eligible")</f>
        <v>Eligible</v>
      </c>
    </row>
    <row r="36">
      <c r="A36" s="6" t="s">
        <v>102</v>
      </c>
      <c r="B36" s="6" t="s">
        <v>103</v>
      </c>
      <c r="C36" s="6" t="s">
        <v>28</v>
      </c>
      <c r="D36" s="7" t="str">
        <f>VLOOKUP(C36, Dept_Lookup!$A$2:$B$17, 2, FALSE)</f>
        <v>Computer Science</v>
      </c>
      <c r="E36" s="6">
        <v>64.0</v>
      </c>
      <c r="F36" s="6">
        <v>86.0</v>
      </c>
      <c r="G36" s="6">
        <v>95.0</v>
      </c>
      <c r="H36" s="8">
        <v>0.76</v>
      </c>
      <c r="I36" s="7">
        <v>45900.0</v>
      </c>
      <c r="J36" s="6" t="s">
        <v>32</v>
      </c>
      <c r="K36" s="8">
        <v>0.8</v>
      </c>
      <c r="L36" s="9">
        <f>E36*Scoring_Weights!$B$2 + F36*Scoring_Weights!$B$3 + G36*Scoring_Weights!$B$4</f>
        <v>87.2</v>
      </c>
      <c r="M36" s="6" t="str">
        <f>IF(AND(H36&gt;=(VLOOKUP(J36,Interview_Slots!$A$2:$D$5,4,FALSE)/100), L36&gt;=VLOOKUP(J36,Interview_Slots!$A$2:$D$5,3,FALSE)), "Eligible", "Not Eligible")</f>
        <v>Eligible</v>
      </c>
    </row>
    <row r="37">
      <c r="A37" s="6" t="s">
        <v>104</v>
      </c>
      <c r="B37" s="6" t="s">
        <v>105</v>
      </c>
      <c r="C37" s="6" t="s">
        <v>31</v>
      </c>
      <c r="D37" s="7" t="str">
        <f>VLOOKUP(C37, Dept_Lookup!$A$2:$B$17, 2, FALSE)</f>
        <v>Electronics</v>
      </c>
      <c r="E37" s="6">
        <v>73.0</v>
      </c>
      <c r="F37" s="6">
        <v>75.0</v>
      </c>
      <c r="G37" s="6">
        <v>88.0</v>
      </c>
      <c r="H37" s="8">
        <v>0.94</v>
      </c>
      <c r="I37" s="7">
        <v>45865.0</v>
      </c>
      <c r="J37" s="6" t="s">
        <v>17</v>
      </c>
      <c r="K37" s="8">
        <v>0.86</v>
      </c>
      <c r="L37" s="9">
        <f>E37*Scoring_Weights!$B$2 + F37*Scoring_Weights!$B$3 + G37*Scoring_Weights!$B$4</f>
        <v>81.2</v>
      </c>
      <c r="M37" s="6" t="str">
        <f>IF(AND(H37&gt;=(VLOOKUP(J37,Interview_Slots!$A$2:$D$5,4,FALSE)/100), L37&gt;=VLOOKUP(J37,Interview_Slots!$A$2:$D$5,3,FALSE)), "Eligible", "Not Eligible")</f>
        <v>Eligible</v>
      </c>
    </row>
    <row r="38">
      <c r="A38" s="6" t="s">
        <v>106</v>
      </c>
      <c r="B38" s="6" t="s">
        <v>107</v>
      </c>
      <c r="C38" s="6" t="s">
        <v>35</v>
      </c>
      <c r="D38" s="7" t="str">
        <f>VLOOKUP(C38, Dept_Lookup!$A$2:$B$17, 2, FALSE)</f>
        <v>Electronics</v>
      </c>
      <c r="E38" s="6">
        <v>98.0</v>
      </c>
      <c r="F38" s="6">
        <v>64.0</v>
      </c>
      <c r="G38" s="6">
        <v>71.0</v>
      </c>
      <c r="H38" s="8">
        <v>0.95</v>
      </c>
      <c r="I38" s="7">
        <v>45900.0</v>
      </c>
      <c r="J38" s="6" t="s">
        <v>21</v>
      </c>
      <c r="K38" s="8">
        <v>1.0</v>
      </c>
      <c r="L38" s="9">
        <f>E38*Scoring_Weights!$B$2 + F38*Scoring_Weights!$B$3 + G38*Scoring_Weights!$B$4</f>
        <v>72.6</v>
      </c>
      <c r="M38" s="6" t="str">
        <f>IF(AND(H38&gt;=(VLOOKUP(J38,Interview_Slots!$A$2:$D$5,4,FALSE)/100), L38&gt;=VLOOKUP(J38,Interview_Slots!$A$2:$D$5,3,FALSE)), "Eligible", "Not Eligible")</f>
        <v>Eligible</v>
      </c>
    </row>
    <row r="39">
      <c r="A39" s="6" t="s">
        <v>108</v>
      </c>
      <c r="B39" s="6" t="s">
        <v>109</v>
      </c>
      <c r="C39" s="6" t="s">
        <v>38</v>
      </c>
      <c r="D39" s="7" t="str">
        <f>VLOOKUP(C39, Dept_Lookup!$A$2:$B$17, 2, FALSE)</f>
        <v>Electronics</v>
      </c>
      <c r="E39" s="6">
        <v>61.0</v>
      </c>
      <c r="F39" s="6">
        <v>78.0</v>
      </c>
      <c r="G39" s="6">
        <v>63.0</v>
      </c>
      <c r="H39" s="8">
        <v>0.9</v>
      </c>
      <c r="I39" s="7">
        <v>45865.0</v>
      </c>
      <c r="J39" s="6" t="s">
        <v>32</v>
      </c>
      <c r="K39" s="8">
        <v>0.86</v>
      </c>
      <c r="L39" s="9">
        <f>E39*Scoring_Weights!$B$2 + F39*Scoring_Weights!$B$3 + G39*Scoring_Weights!$B$4</f>
        <v>67.95</v>
      </c>
      <c r="M39" s="6" t="str">
        <f>IF(AND(H39&gt;=(VLOOKUP(J39,Interview_Slots!$A$2:$D$5,4,FALSE)/100), L39&gt;=VLOOKUP(J39,Interview_Slots!$A$2:$D$5,3,FALSE)), "Eligible", "Not Eligible")</f>
        <v>Eligible</v>
      </c>
    </row>
    <row r="40">
      <c r="A40" s="6" t="s">
        <v>110</v>
      </c>
      <c r="B40" s="6" t="s">
        <v>111</v>
      </c>
      <c r="C40" s="6" t="s">
        <v>41</v>
      </c>
      <c r="D40" s="7" t="str">
        <f>VLOOKUP(C40, Dept_Lookup!$A$2:$B$17, 2, FALSE)</f>
        <v>Electronics</v>
      </c>
      <c r="E40" s="6">
        <v>97.0</v>
      </c>
      <c r="F40" s="6">
        <v>70.0</v>
      </c>
      <c r="G40" s="6">
        <v>88.0</v>
      </c>
      <c r="H40" s="8">
        <v>0.92</v>
      </c>
      <c r="I40" s="7">
        <v>45869.0</v>
      </c>
      <c r="J40" s="6" t="s">
        <v>32</v>
      </c>
      <c r="K40" s="8">
        <v>0.89</v>
      </c>
      <c r="L40" s="9">
        <f>E40*Scoring_Weights!$B$2 + F40*Scoring_Weights!$B$3 + G40*Scoring_Weights!$B$4</f>
        <v>83.05</v>
      </c>
      <c r="M40" s="6" t="str">
        <f>IF(AND(H40&gt;=(VLOOKUP(J40,Interview_Slots!$A$2:$D$5,4,FALSE)/100), L40&gt;=VLOOKUP(J40,Interview_Slots!$A$2:$D$5,3,FALSE)), "Eligible", "Not Eligible")</f>
        <v>Eligible</v>
      </c>
    </row>
    <row r="41">
      <c r="A41" s="6" t="s">
        <v>112</v>
      </c>
      <c r="B41" s="6" t="s">
        <v>113</v>
      </c>
      <c r="C41" s="6" t="s">
        <v>44</v>
      </c>
      <c r="D41" s="7" t="str">
        <f>VLOOKUP(C41, Dept_Lookup!$A$2:$B$17, 2, FALSE)</f>
        <v>Mechanical</v>
      </c>
      <c r="E41" s="6">
        <v>77.0</v>
      </c>
      <c r="F41" s="6">
        <v>93.0</v>
      </c>
      <c r="G41" s="6">
        <v>92.0</v>
      </c>
      <c r="H41" s="8">
        <v>0.87</v>
      </c>
      <c r="I41" s="7">
        <v>45915.0</v>
      </c>
      <c r="J41" s="6" t="s">
        <v>32</v>
      </c>
      <c r="K41" s="8">
        <v>0.8</v>
      </c>
      <c r="L41" s="9">
        <f>E41*Scoring_Weights!$B$2 + F41*Scoring_Weights!$B$3 + G41*Scoring_Weights!$B$4</f>
        <v>90.1</v>
      </c>
      <c r="M41" s="6" t="str">
        <f>IF(AND(H41&gt;=(VLOOKUP(J41,Interview_Slots!$A$2:$D$5,4,FALSE)/100), L41&gt;=VLOOKUP(J41,Interview_Slots!$A$2:$D$5,3,FALSE)), "Eligible", "Not Eligible")</f>
        <v>Eligible</v>
      </c>
    </row>
    <row r="42">
      <c r="A42" s="6" t="s">
        <v>114</v>
      </c>
      <c r="B42" s="6" t="s">
        <v>115</v>
      </c>
      <c r="C42" s="6" t="s">
        <v>47</v>
      </c>
      <c r="D42" s="7" t="str">
        <f>VLOOKUP(C42, Dept_Lookup!$A$2:$B$17, 2, FALSE)</f>
        <v>Mechanical</v>
      </c>
      <c r="E42" s="6">
        <v>70.0</v>
      </c>
      <c r="F42" s="6">
        <v>86.0</v>
      </c>
      <c r="G42" s="6">
        <v>76.0</v>
      </c>
      <c r="H42" s="8">
        <v>0.79</v>
      </c>
      <c r="I42" s="7">
        <v>45870.0</v>
      </c>
      <c r="J42" s="6" t="s">
        <v>21</v>
      </c>
      <c r="K42" s="8">
        <v>0.83</v>
      </c>
      <c r="L42" s="9">
        <f>E42*Scoring_Weights!$B$2 + F42*Scoring_Weights!$B$3 + G42*Scoring_Weights!$B$4</f>
        <v>78.6</v>
      </c>
      <c r="M42" s="6" t="str">
        <f>IF(AND(H42&gt;=(VLOOKUP(J42,Interview_Slots!$A$2:$D$5,4,FALSE)/100), L42&gt;=VLOOKUP(J42,Interview_Slots!$A$2:$D$5,3,FALSE)), "Eligible", "Not Eligible")</f>
        <v>Not Eligible</v>
      </c>
    </row>
    <row r="43">
      <c r="A43" s="6" t="s">
        <v>116</v>
      </c>
      <c r="B43" s="6" t="s">
        <v>117</v>
      </c>
      <c r="C43" s="6" t="s">
        <v>50</v>
      </c>
      <c r="D43" s="7" t="str">
        <f>VLOOKUP(C43, Dept_Lookup!$A$2:$B$17, 2, FALSE)</f>
        <v>Mechanical</v>
      </c>
      <c r="E43" s="6">
        <v>80.0</v>
      </c>
      <c r="F43" s="6">
        <v>60.0</v>
      </c>
      <c r="G43" s="6">
        <v>83.0</v>
      </c>
      <c r="H43" s="8">
        <v>0.77</v>
      </c>
      <c r="I43" s="7">
        <v>45870.0</v>
      </c>
      <c r="J43" s="6" t="s">
        <v>21</v>
      </c>
      <c r="K43" s="8">
        <v>0.93</v>
      </c>
      <c r="L43" s="9">
        <f>E43*Scoring_Weights!$B$2 + F43*Scoring_Weights!$B$3 + G43*Scoring_Weights!$B$4</f>
        <v>74.5</v>
      </c>
      <c r="M43" s="6" t="str">
        <f>IF(AND(H43&gt;=(VLOOKUP(J43,Interview_Slots!$A$2:$D$5,4,FALSE)/100), L43&gt;=VLOOKUP(J43,Interview_Slots!$A$2:$D$5,3,FALSE)), "Eligible", "Not Eligible")</f>
        <v>Not Eligible</v>
      </c>
    </row>
    <row r="44">
      <c r="A44" s="6" t="s">
        <v>118</v>
      </c>
      <c r="B44" s="6" t="s">
        <v>119</v>
      </c>
      <c r="C44" s="6" t="s">
        <v>53</v>
      </c>
      <c r="D44" s="7" t="str">
        <f>VLOOKUP(C44, Dept_Lookup!$A$2:$B$17, 2, FALSE)</f>
        <v>Mechanical</v>
      </c>
      <c r="E44" s="6">
        <v>81.0</v>
      </c>
      <c r="F44" s="6">
        <v>65.0</v>
      </c>
      <c r="G44" s="6">
        <v>57.0</v>
      </c>
      <c r="H44" s="8">
        <v>0.76</v>
      </c>
      <c r="I44" s="7">
        <v>45866.0</v>
      </c>
      <c r="J44" s="6" t="s">
        <v>21</v>
      </c>
      <c r="K44" s="8">
        <v>0.95</v>
      </c>
      <c r="L44" s="9">
        <f>E44*Scoring_Weights!$B$2 + F44*Scoring_Weights!$B$3 + G44*Scoring_Weights!$B$4</f>
        <v>63.4</v>
      </c>
      <c r="M44" s="6" t="str">
        <f>IF(AND(H44&gt;=(VLOOKUP(J44,Interview_Slots!$A$2:$D$5,4,FALSE)/100), L44&gt;=VLOOKUP(J44,Interview_Slots!$A$2:$D$5,3,FALSE)), "Eligible", "Not Eligible")</f>
        <v>Not Eligible</v>
      </c>
    </row>
    <row r="45">
      <c r="A45" s="6" t="s">
        <v>120</v>
      </c>
      <c r="B45" s="6" t="s">
        <v>121</v>
      </c>
      <c r="C45" s="6" t="s">
        <v>56</v>
      </c>
      <c r="D45" s="7" t="str">
        <f>VLOOKUP(C45, Dept_Lookup!$A$2:$B$17, 2, FALSE)</f>
        <v>Civil</v>
      </c>
      <c r="E45" s="6">
        <v>65.0</v>
      </c>
      <c r="F45" s="6">
        <v>74.0</v>
      </c>
      <c r="G45" s="6">
        <v>81.0</v>
      </c>
      <c r="H45" s="8">
        <v>0.81</v>
      </c>
      <c r="I45" s="7">
        <v>45880.0</v>
      </c>
      <c r="J45" s="6" t="s">
        <v>25</v>
      </c>
      <c r="K45" s="8">
        <v>0.73</v>
      </c>
      <c r="L45" s="9">
        <f>E45*Scoring_Weights!$B$2 + F45*Scoring_Weights!$B$3 + G45*Scoring_Weights!$B$4</f>
        <v>76.15</v>
      </c>
      <c r="M45" s="6" t="str">
        <f>IF(AND(H45&gt;=(VLOOKUP(J45,Interview_Slots!$A$2:$D$5,4,FALSE)/100), L45&gt;=VLOOKUP(J45,Interview_Slots!$A$2:$D$5,3,FALSE)), "Eligible", "Not Eligible")</f>
        <v>Not Eligible</v>
      </c>
    </row>
    <row r="46">
      <c r="A46" s="6" t="s">
        <v>122</v>
      </c>
      <c r="B46" s="6" t="s">
        <v>123</v>
      </c>
      <c r="C46" s="6" t="s">
        <v>59</v>
      </c>
      <c r="D46" s="7" t="str">
        <f>VLOOKUP(C46, Dept_Lookup!$A$2:$B$17, 2, FALSE)</f>
        <v>Civil</v>
      </c>
      <c r="E46" s="6">
        <v>91.0</v>
      </c>
      <c r="F46" s="6">
        <v>95.0</v>
      </c>
      <c r="G46" s="6">
        <v>63.0</v>
      </c>
      <c r="H46" s="8">
        <v>0.88</v>
      </c>
      <c r="I46" s="7">
        <v>45865.0</v>
      </c>
      <c r="J46" s="6" t="s">
        <v>25</v>
      </c>
      <c r="K46" s="8">
        <v>0.78</v>
      </c>
      <c r="L46" s="9">
        <f>E46*Scoring_Weights!$B$2 + F46*Scoring_Weights!$B$3 + G46*Scoring_Weights!$B$4</f>
        <v>78.4</v>
      </c>
      <c r="M46" s="6" t="str">
        <f>IF(AND(H46&gt;=(VLOOKUP(J46,Interview_Slots!$A$2:$D$5,4,FALSE)/100), L46&gt;=VLOOKUP(J46,Interview_Slots!$A$2:$D$5,3,FALSE)), "Eligible", "Not Eligible")</f>
        <v>Eligible</v>
      </c>
    </row>
    <row r="47">
      <c r="A47" s="6" t="s">
        <v>124</v>
      </c>
      <c r="B47" s="6" t="s">
        <v>125</v>
      </c>
      <c r="C47" s="6" t="s">
        <v>62</v>
      </c>
      <c r="D47" s="7" t="str">
        <f>VLOOKUP(C47, Dept_Lookup!$A$2:$B$17, 2, FALSE)</f>
        <v>Civil</v>
      </c>
      <c r="E47" s="6">
        <v>87.0</v>
      </c>
      <c r="F47" s="6">
        <v>72.0</v>
      </c>
      <c r="G47" s="6">
        <v>74.0</v>
      </c>
      <c r="H47" s="8">
        <v>0.86</v>
      </c>
      <c r="I47" s="11">
        <v>45898.0</v>
      </c>
      <c r="J47" s="6" t="s">
        <v>25</v>
      </c>
      <c r="K47" s="8">
        <v>0.98</v>
      </c>
      <c r="L47" s="9">
        <f>E47*Scoring_Weights!$B$2 + F47*Scoring_Weights!$B$3 + G47*Scoring_Weights!$B$4</f>
        <v>75.25</v>
      </c>
      <c r="M47" s="6" t="str">
        <f>IF(AND(H47&gt;=(VLOOKUP(J47,Interview_Slots!$A$2:$D$5,4,FALSE)/100), L47&gt;=VLOOKUP(J47,Interview_Slots!$A$2:$D$5,3,FALSE)), "Eligible", "Not Eligible")</f>
        <v>Eligible</v>
      </c>
    </row>
    <row r="48">
      <c r="A48" s="6" t="s">
        <v>126</v>
      </c>
      <c r="B48" s="6" t="s">
        <v>127</v>
      </c>
      <c r="C48" s="6" t="s">
        <v>65</v>
      </c>
      <c r="D48" s="7" t="str">
        <f>VLOOKUP(C48, Dept_Lookup!$A$2:$B$17, 2, FALSE)</f>
        <v>Civil</v>
      </c>
      <c r="E48" s="6">
        <v>72.0</v>
      </c>
      <c r="F48" s="6">
        <v>96.0</v>
      </c>
      <c r="G48" s="6">
        <v>63.0</v>
      </c>
      <c r="H48" s="8">
        <v>0.81</v>
      </c>
      <c r="I48" s="7">
        <v>45865.0</v>
      </c>
      <c r="J48" s="6" t="s">
        <v>17</v>
      </c>
      <c r="K48" s="8">
        <v>0.85</v>
      </c>
      <c r="L48" s="9">
        <f>E48*Scoring_Weights!$B$2 + F48*Scoring_Weights!$B$3 + G48*Scoring_Weights!$B$4</f>
        <v>75.9</v>
      </c>
      <c r="M48" s="6" t="str">
        <f>IF(AND(H48&gt;=(VLOOKUP(J48,Interview_Slots!$A$2:$D$5,4,FALSE)/100), L48&gt;=VLOOKUP(J48,Interview_Slots!$A$2:$D$5,3,FALSE)), "Eligible", "Not Eligible")</f>
        <v>Eligible</v>
      </c>
    </row>
    <row r="49">
      <c r="A49" s="6" t="s">
        <v>128</v>
      </c>
      <c r="B49" s="6" t="s">
        <v>129</v>
      </c>
      <c r="C49" s="6" t="s">
        <v>16</v>
      </c>
      <c r="D49" s="7" t="str">
        <f>VLOOKUP(C49, Dept_Lookup!$A$2:$B$17, 2, FALSE)</f>
        <v>Computer Science</v>
      </c>
      <c r="E49" s="6">
        <v>97.0</v>
      </c>
      <c r="F49" s="6">
        <v>87.0</v>
      </c>
      <c r="G49" s="6">
        <v>55.0</v>
      </c>
      <c r="H49" s="8">
        <v>0.87</v>
      </c>
      <c r="I49" s="7">
        <v>45929.0</v>
      </c>
      <c r="J49" s="6" t="s">
        <v>32</v>
      </c>
      <c r="K49" s="8">
        <v>0.81</v>
      </c>
      <c r="L49" s="9">
        <f>E49*Scoring_Weights!$B$2 + F49*Scoring_Weights!$B$3 + G49*Scoring_Weights!$B$4</f>
        <v>72.5</v>
      </c>
      <c r="M49" s="6" t="str">
        <f>IF(AND(H49&gt;=(VLOOKUP(J49,Interview_Slots!$A$2:$D$5,4,FALSE)/100), L49&gt;=VLOOKUP(J49,Interview_Slots!$A$2:$D$5,3,FALSE)), "Eligible", "Not Eligible")</f>
        <v>Eligible</v>
      </c>
    </row>
    <row r="50">
      <c r="A50" s="6" t="s">
        <v>130</v>
      </c>
      <c r="B50" s="6" t="s">
        <v>131</v>
      </c>
      <c r="C50" s="6" t="s">
        <v>20</v>
      </c>
      <c r="D50" s="7" t="str">
        <f>VLOOKUP(C50, Dept_Lookup!$A$2:$B$17, 2, FALSE)</f>
        <v>Computer Science</v>
      </c>
      <c r="E50" s="6">
        <v>84.0</v>
      </c>
      <c r="F50" s="6">
        <v>93.0</v>
      </c>
      <c r="G50" s="6">
        <v>90.0</v>
      </c>
      <c r="H50" s="8">
        <v>0.9</v>
      </c>
      <c r="I50" s="7">
        <v>45865.0</v>
      </c>
      <c r="J50" s="6" t="s">
        <v>17</v>
      </c>
      <c r="K50" s="8">
        <v>0.96</v>
      </c>
      <c r="L50" s="9">
        <f>E50*Scoring_Weights!$B$2 + F50*Scoring_Weights!$B$3 + G50*Scoring_Weights!$B$4</f>
        <v>90.15</v>
      </c>
      <c r="M50" s="6" t="str">
        <f>IF(AND(H50&gt;=(VLOOKUP(J50,Interview_Slots!$A$2:$D$5,4,FALSE)/100), L50&gt;=VLOOKUP(J50,Interview_Slots!$A$2:$D$5,3,FALSE)), "Eligible", "Not Eligible")</f>
        <v>Eligible</v>
      </c>
    </row>
    <row r="51">
      <c r="A51" s="6" t="s">
        <v>132</v>
      </c>
      <c r="B51" s="6" t="s">
        <v>133</v>
      </c>
      <c r="C51" s="6" t="s">
        <v>24</v>
      </c>
      <c r="D51" s="7" t="str">
        <f>VLOOKUP(C51, Dept_Lookup!$A$2:$B$17, 2, FALSE)</f>
        <v>Computer Science</v>
      </c>
      <c r="E51" s="6">
        <v>77.0</v>
      </c>
      <c r="F51" s="6">
        <v>98.0</v>
      </c>
      <c r="G51" s="6">
        <v>70.0</v>
      </c>
      <c r="H51" s="8">
        <v>0.91</v>
      </c>
      <c r="I51" s="7">
        <v>45913.0</v>
      </c>
      <c r="J51" s="6" t="s">
        <v>21</v>
      </c>
      <c r="K51" s="8">
        <v>0.89</v>
      </c>
      <c r="L51" s="9">
        <f>E51*Scoring_Weights!$B$2 + F51*Scoring_Weights!$B$3 + G51*Scoring_Weights!$B$4</f>
        <v>80.85</v>
      </c>
      <c r="M51" s="6" t="str">
        <f>IF(AND(H51&gt;=(VLOOKUP(J51,Interview_Slots!$A$2:$D$5,4,FALSE)/100), L51&gt;=VLOOKUP(J51,Interview_Slots!$A$2:$D$5,3,FALSE)), "Eligible", "Not Eligible")</f>
        <v>Eligible</v>
      </c>
    </row>
    <row r="52">
      <c r="A52" s="6" t="s">
        <v>134</v>
      </c>
      <c r="B52" s="6" t="s">
        <v>135</v>
      </c>
      <c r="C52" s="6" t="s">
        <v>28</v>
      </c>
      <c r="D52" s="7" t="str">
        <f>VLOOKUP(C52, Dept_Lookup!$A$2:$B$17, 2, FALSE)</f>
        <v>Computer Science</v>
      </c>
      <c r="E52" s="6">
        <v>97.0</v>
      </c>
      <c r="F52" s="6">
        <v>81.0</v>
      </c>
      <c r="G52" s="6">
        <v>98.0</v>
      </c>
      <c r="H52" s="8">
        <v>0.86</v>
      </c>
      <c r="I52" s="7">
        <v>45866.0</v>
      </c>
      <c r="J52" s="6" t="s">
        <v>32</v>
      </c>
      <c r="K52" s="8">
        <v>0.85</v>
      </c>
      <c r="L52" s="9">
        <f>E52*Scoring_Weights!$B$2 + F52*Scoring_Weights!$B$3 + G52*Scoring_Weights!$B$4</f>
        <v>91.9</v>
      </c>
      <c r="M52" s="6" t="str">
        <f>IF(AND(H52&gt;=(VLOOKUP(J52,Interview_Slots!$A$2:$D$5,4,FALSE)/100), L52&gt;=VLOOKUP(J52,Interview_Slots!$A$2:$D$5,3,FALSE)), "Eligible", "Not Eligible")</f>
        <v>Eligible</v>
      </c>
    </row>
    <row r="53">
      <c r="A53" s="6" t="s">
        <v>136</v>
      </c>
      <c r="B53" s="6" t="s">
        <v>137</v>
      </c>
      <c r="C53" s="6" t="s">
        <v>31</v>
      </c>
      <c r="D53" s="7" t="str">
        <f>VLOOKUP(C53, Dept_Lookup!$A$2:$B$17, 2, FALSE)</f>
        <v>Electronics</v>
      </c>
      <c r="E53" s="6">
        <v>59.0</v>
      </c>
      <c r="F53" s="6">
        <v>87.0</v>
      </c>
      <c r="G53" s="6">
        <v>78.0</v>
      </c>
      <c r="H53" s="8">
        <v>0.9</v>
      </c>
      <c r="I53" s="7">
        <v>45887.0</v>
      </c>
      <c r="J53" s="6" t="s">
        <v>32</v>
      </c>
      <c r="K53" s="8">
        <v>0.73</v>
      </c>
      <c r="L53" s="9">
        <f>E53*Scoring_Weights!$B$2 + F53*Scoring_Weights!$B$3 + G53*Scoring_Weights!$B$4</f>
        <v>78.3</v>
      </c>
      <c r="M53" s="6" t="str">
        <f>IF(AND(H53&gt;=(VLOOKUP(J53,Interview_Slots!$A$2:$D$5,4,FALSE)/100), L53&gt;=VLOOKUP(J53,Interview_Slots!$A$2:$D$5,3,FALSE)), "Eligible", "Not Eligible")</f>
        <v>Eligible</v>
      </c>
    </row>
    <row r="54">
      <c r="A54" s="6" t="s">
        <v>138</v>
      </c>
      <c r="B54" s="6" t="s">
        <v>139</v>
      </c>
      <c r="C54" s="6" t="s">
        <v>35</v>
      </c>
      <c r="D54" s="7" t="str">
        <f>VLOOKUP(C54, Dept_Lookup!$A$2:$B$17, 2, FALSE)</f>
        <v>Electronics</v>
      </c>
      <c r="E54" s="6">
        <v>78.0</v>
      </c>
      <c r="F54" s="6">
        <v>61.0</v>
      </c>
      <c r="G54" s="6">
        <v>88.0</v>
      </c>
      <c r="H54" s="8">
        <v>0.92</v>
      </c>
      <c r="I54" s="7">
        <v>45866.0</v>
      </c>
      <c r="J54" s="6" t="s">
        <v>17</v>
      </c>
      <c r="K54" s="8">
        <v>0.88</v>
      </c>
      <c r="L54" s="9">
        <f>E54*Scoring_Weights!$B$2 + F54*Scoring_Weights!$B$3 + G54*Scoring_Weights!$B$4</f>
        <v>77.05</v>
      </c>
      <c r="M54" s="6" t="str">
        <f>IF(AND(H54&gt;=(VLOOKUP(J54,Interview_Slots!$A$2:$D$5,4,FALSE)/100), L54&gt;=VLOOKUP(J54,Interview_Slots!$A$2:$D$5,3,FALSE)), "Eligible", "Not Eligible")</f>
        <v>Eligible</v>
      </c>
    </row>
    <row r="55">
      <c r="A55" s="6" t="s">
        <v>140</v>
      </c>
      <c r="B55" s="6" t="s">
        <v>141</v>
      </c>
      <c r="C55" s="6" t="s">
        <v>38</v>
      </c>
      <c r="D55" s="7" t="str">
        <f>VLOOKUP(C55, Dept_Lookup!$A$2:$B$17, 2, FALSE)</f>
        <v>Electronics</v>
      </c>
      <c r="E55" s="6">
        <v>90.0</v>
      </c>
      <c r="F55" s="6">
        <v>91.0</v>
      </c>
      <c r="G55" s="6">
        <v>71.0</v>
      </c>
      <c r="H55" s="8">
        <v>0.75</v>
      </c>
      <c r="I55" s="7">
        <v>45854.0</v>
      </c>
      <c r="J55" s="6" t="s">
        <v>21</v>
      </c>
      <c r="K55" s="8">
        <v>0.77</v>
      </c>
      <c r="L55" s="9">
        <f>E55*Scoring_Weights!$B$2 + F55*Scoring_Weights!$B$3 + G55*Scoring_Weights!$B$4</f>
        <v>80.85</v>
      </c>
      <c r="M55" s="6" t="str">
        <f>IF(AND(H55&gt;=(VLOOKUP(J55,Interview_Slots!$A$2:$D$5,4,FALSE)/100), L55&gt;=VLOOKUP(J55,Interview_Slots!$A$2:$D$5,3,FALSE)), "Eligible", "Not Eligible")</f>
        <v>Not Eligible</v>
      </c>
    </row>
    <row r="56">
      <c r="A56" s="6" t="s">
        <v>142</v>
      </c>
      <c r="B56" s="6" t="s">
        <v>143</v>
      </c>
      <c r="C56" s="6" t="s">
        <v>41</v>
      </c>
      <c r="D56" s="7" t="str">
        <f>VLOOKUP(C56, Dept_Lookup!$A$2:$B$17, 2, FALSE)</f>
        <v>Electronics</v>
      </c>
      <c r="E56" s="6">
        <v>75.0</v>
      </c>
      <c r="F56" s="6">
        <v>59.0</v>
      </c>
      <c r="G56" s="6">
        <v>68.0</v>
      </c>
      <c r="H56" s="8">
        <v>0.94</v>
      </c>
      <c r="I56" s="7">
        <v>45878.0</v>
      </c>
      <c r="J56" s="6" t="s">
        <v>21</v>
      </c>
      <c r="K56" s="8">
        <v>0.89</v>
      </c>
      <c r="L56" s="9">
        <f>E56*Scoring_Weights!$B$2 + F56*Scoring_Weights!$B$3 + G56*Scoring_Weights!$B$4</f>
        <v>65.9</v>
      </c>
      <c r="M56" s="6" t="str">
        <f>IF(AND(H56&gt;=(VLOOKUP(J56,Interview_Slots!$A$2:$D$5,4,FALSE)/100), L56&gt;=VLOOKUP(J56,Interview_Slots!$A$2:$D$5,3,FALSE)), "Eligible", "Not Eligible")</f>
        <v>Not Eligible</v>
      </c>
    </row>
    <row r="57">
      <c r="A57" s="6" t="s">
        <v>144</v>
      </c>
      <c r="B57" s="6" t="s">
        <v>145</v>
      </c>
      <c r="C57" s="6" t="s">
        <v>44</v>
      </c>
      <c r="D57" s="7" t="str">
        <f>VLOOKUP(C57, Dept_Lookup!$A$2:$B$17, 2, FALSE)</f>
        <v>Mechanical</v>
      </c>
      <c r="E57" s="6">
        <v>82.0</v>
      </c>
      <c r="F57" s="6">
        <v>77.0</v>
      </c>
      <c r="G57" s="6">
        <v>61.0</v>
      </c>
      <c r="H57" s="8">
        <v>0.79</v>
      </c>
      <c r="I57" s="7">
        <v>45900.0</v>
      </c>
      <c r="J57" s="6" t="s">
        <v>21</v>
      </c>
      <c r="K57" s="8">
        <v>0.91</v>
      </c>
      <c r="L57" s="9">
        <f>E57*Scoring_Weights!$B$2 + F57*Scoring_Weights!$B$3 + G57*Scoring_Weights!$B$4</f>
        <v>69.75</v>
      </c>
      <c r="M57" s="6" t="str">
        <f>IF(AND(H57&gt;=(VLOOKUP(J57,Interview_Slots!$A$2:$D$5,4,FALSE)/100), L57&gt;=VLOOKUP(J57,Interview_Slots!$A$2:$D$5,3,FALSE)), "Eligible", "Not Eligible")</f>
        <v>Not Eligible</v>
      </c>
    </row>
    <row r="58">
      <c r="A58" s="6" t="s">
        <v>146</v>
      </c>
      <c r="B58" s="6" t="s">
        <v>147</v>
      </c>
      <c r="C58" s="6" t="s">
        <v>47</v>
      </c>
      <c r="D58" s="7" t="str">
        <f>VLOOKUP(C58, Dept_Lookup!$A$2:$B$17, 2, FALSE)</f>
        <v>Mechanical</v>
      </c>
      <c r="E58" s="6">
        <v>81.0</v>
      </c>
      <c r="F58" s="6">
        <v>90.0</v>
      </c>
      <c r="G58" s="6">
        <v>75.0</v>
      </c>
      <c r="H58" s="8">
        <v>0.9</v>
      </c>
      <c r="I58" s="7">
        <v>45865.0</v>
      </c>
      <c r="J58" s="6" t="s">
        <v>25</v>
      </c>
      <c r="K58" s="8">
        <v>0.85</v>
      </c>
      <c r="L58" s="9">
        <f>E58*Scoring_Weights!$B$2 + F58*Scoring_Weights!$B$3 + G58*Scoring_Weights!$B$4</f>
        <v>81.15</v>
      </c>
      <c r="M58" s="6" t="str">
        <f>IF(AND(H58&gt;=(VLOOKUP(J58,Interview_Slots!$A$2:$D$5,4,FALSE)/100), L58&gt;=VLOOKUP(J58,Interview_Slots!$A$2:$D$5,3,FALSE)), "Eligible", "Not Eligible")</f>
        <v>Eligible</v>
      </c>
    </row>
    <row r="59">
      <c r="A59" s="6" t="s">
        <v>148</v>
      </c>
      <c r="B59" s="6" t="s">
        <v>149</v>
      </c>
      <c r="C59" s="6" t="s">
        <v>50</v>
      </c>
      <c r="D59" s="7" t="str">
        <f>VLOOKUP(C59, Dept_Lookup!$A$2:$B$17, 2, FALSE)</f>
        <v>Mechanical</v>
      </c>
      <c r="E59" s="6">
        <v>95.0</v>
      </c>
      <c r="F59" s="6">
        <v>56.0</v>
      </c>
      <c r="G59" s="6">
        <v>84.0</v>
      </c>
      <c r="H59" s="8">
        <v>0.84</v>
      </c>
      <c r="I59" s="7">
        <v>45887.0</v>
      </c>
      <c r="J59" s="6" t="s">
        <v>25</v>
      </c>
      <c r="K59" s="8">
        <v>0.75</v>
      </c>
      <c r="L59" s="9">
        <f>E59*Scoring_Weights!$B$2 + F59*Scoring_Weights!$B$3 + G59*Scoring_Weights!$B$4</f>
        <v>75.85</v>
      </c>
      <c r="M59" s="6" t="str">
        <f>IF(AND(H59&gt;=(VLOOKUP(J59,Interview_Slots!$A$2:$D$5,4,FALSE)/100), L59&gt;=VLOOKUP(J59,Interview_Slots!$A$2:$D$5,3,FALSE)), "Eligible", "Not Eligible")</f>
        <v>Not Eligible</v>
      </c>
    </row>
    <row r="60">
      <c r="A60" s="6" t="s">
        <v>150</v>
      </c>
      <c r="B60" s="6" t="s">
        <v>151</v>
      </c>
      <c r="C60" s="6" t="s">
        <v>53</v>
      </c>
      <c r="D60" s="7" t="str">
        <f>VLOOKUP(C60, Dept_Lookup!$A$2:$B$17, 2, FALSE)</f>
        <v>Mechanical</v>
      </c>
      <c r="E60" s="6">
        <v>96.0</v>
      </c>
      <c r="F60" s="6">
        <v>91.0</v>
      </c>
      <c r="G60" s="6">
        <v>78.0</v>
      </c>
      <c r="H60" s="8">
        <v>0.84</v>
      </c>
      <c r="I60" s="7">
        <v>45865.0</v>
      </c>
      <c r="J60" s="6" t="s">
        <v>25</v>
      </c>
      <c r="K60" s="8">
        <v>0.8</v>
      </c>
      <c r="L60" s="9">
        <f>E60*Scoring_Weights!$B$2 + F60*Scoring_Weights!$B$3 + G60*Scoring_Weights!$B$4</f>
        <v>85.25</v>
      </c>
      <c r="M60" s="6" t="str">
        <f>IF(AND(H60&gt;=(VLOOKUP(J60,Interview_Slots!$A$2:$D$5,4,FALSE)/100), L60&gt;=VLOOKUP(J60,Interview_Slots!$A$2:$D$5,3,FALSE)), "Eligible", "Not Eligible")</f>
        <v>Not Eligible</v>
      </c>
    </row>
    <row r="61">
      <c r="A61" s="6" t="s">
        <v>152</v>
      </c>
      <c r="B61" s="6" t="s">
        <v>153</v>
      </c>
      <c r="C61" s="6" t="s">
        <v>56</v>
      </c>
      <c r="D61" s="7" t="str">
        <f>VLOOKUP(C61, Dept_Lookup!$A$2:$B$17, 2, FALSE)</f>
        <v>Civil</v>
      </c>
      <c r="E61" s="6">
        <v>84.0</v>
      </c>
      <c r="F61" s="6">
        <v>74.0</v>
      </c>
      <c r="G61" s="6">
        <v>75.0</v>
      </c>
      <c r="H61" s="8">
        <v>0.77</v>
      </c>
      <c r="I61" s="7">
        <v>45865.0</v>
      </c>
      <c r="J61" s="6" t="s">
        <v>17</v>
      </c>
      <c r="K61" s="8">
        <v>0.95</v>
      </c>
      <c r="L61" s="9">
        <f>E61*Scoring_Weights!$B$2 + F61*Scoring_Weights!$B$3 + G61*Scoring_Weights!$B$4</f>
        <v>76</v>
      </c>
      <c r="M61" s="6" t="str">
        <f>IF(AND(H61&gt;=(VLOOKUP(J61,Interview_Slots!$A$2:$D$5,4,FALSE)/100), L61&gt;=VLOOKUP(J61,Interview_Slots!$A$2:$D$5,3,FALSE)), "Eligible", "Not Eligible")</f>
        <v>Eligible</v>
      </c>
    </row>
    <row r="62">
      <c r="A62" s="6" t="s">
        <v>154</v>
      </c>
      <c r="B62" s="6" t="s">
        <v>155</v>
      </c>
      <c r="C62" s="6" t="s">
        <v>59</v>
      </c>
      <c r="D62" s="7" t="str">
        <f>VLOOKUP(C62, Dept_Lookup!$A$2:$B$17, 2, FALSE)</f>
        <v>Civil</v>
      </c>
      <c r="E62" s="6">
        <v>77.0</v>
      </c>
      <c r="F62" s="6">
        <v>74.0</v>
      </c>
      <c r="G62" s="6">
        <v>55.0</v>
      </c>
      <c r="H62" s="8">
        <v>0.87</v>
      </c>
      <c r="I62" s="7">
        <v>45877.0</v>
      </c>
      <c r="J62" s="6" t="s">
        <v>32</v>
      </c>
      <c r="K62" s="8">
        <v>0.92</v>
      </c>
      <c r="L62" s="9">
        <f>E62*Scoring_Weights!$B$2 + F62*Scoring_Weights!$B$3 + G62*Scoring_Weights!$B$4</f>
        <v>64.95</v>
      </c>
      <c r="M62" s="6" t="str">
        <f>IF(AND(H62&gt;=(VLOOKUP(J62,Interview_Slots!$A$2:$D$5,4,FALSE)/100), L62&gt;=VLOOKUP(J62,Interview_Slots!$A$2:$D$5,3,FALSE)), "Eligible", "Not Eligible")</f>
        <v>Not Eligible</v>
      </c>
    </row>
    <row r="63">
      <c r="A63" s="6" t="s">
        <v>156</v>
      </c>
      <c r="B63" s="6" t="s">
        <v>157</v>
      </c>
      <c r="C63" s="6" t="s">
        <v>62</v>
      </c>
      <c r="D63" s="7" t="str">
        <f>VLOOKUP(C63, Dept_Lookup!$A$2:$B$17, 2, FALSE)</f>
        <v>Civil</v>
      </c>
      <c r="E63" s="6">
        <v>90.0</v>
      </c>
      <c r="F63" s="6">
        <v>81.0</v>
      </c>
      <c r="G63" s="6">
        <v>62.0</v>
      </c>
      <c r="H63" s="8">
        <v>0.8</v>
      </c>
      <c r="I63" s="7">
        <v>45887.0</v>
      </c>
      <c r="J63" s="6" t="s">
        <v>17</v>
      </c>
      <c r="K63" s="8">
        <v>0.97</v>
      </c>
      <c r="L63" s="9">
        <f>E63*Scoring_Weights!$B$2 + F63*Scoring_Weights!$B$3 + G63*Scoring_Weights!$B$4</f>
        <v>72.85</v>
      </c>
      <c r="M63" s="6" t="str">
        <f>IF(AND(H63&gt;=(VLOOKUP(J63,Interview_Slots!$A$2:$D$5,4,FALSE)/100), L63&gt;=VLOOKUP(J63,Interview_Slots!$A$2:$D$5,3,FALSE)), "Eligible", "Not Eligible")</f>
        <v>Eligible</v>
      </c>
    </row>
    <row r="64">
      <c r="A64" s="6" t="s">
        <v>158</v>
      </c>
      <c r="B64" s="6" t="s">
        <v>159</v>
      </c>
      <c r="C64" s="6" t="s">
        <v>16</v>
      </c>
      <c r="D64" s="7" t="str">
        <f>VLOOKUP(C64, Dept_Lookup!$A$2:$B$17, 2, FALSE)</f>
        <v>Computer Science</v>
      </c>
      <c r="E64" s="6">
        <v>98.0</v>
      </c>
      <c r="F64" s="6">
        <v>93.0</v>
      </c>
      <c r="G64" s="6">
        <v>85.0</v>
      </c>
      <c r="H64" s="8">
        <v>0.86</v>
      </c>
      <c r="I64" s="7">
        <v>45842.0</v>
      </c>
      <c r="J64" s="6" t="s">
        <v>25</v>
      </c>
      <c r="K64" s="8">
        <v>0.78</v>
      </c>
      <c r="L64" s="9">
        <f>E64*Scoring_Weights!$B$2 + F64*Scoring_Weights!$B$3 + G64*Scoring_Weights!$B$4</f>
        <v>89.75</v>
      </c>
      <c r="M64" s="6" t="str">
        <f>IF(AND(H64&gt;=(VLOOKUP(J64,Interview_Slots!$A$2:$D$5,4,FALSE)/100), L64&gt;=VLOOKUP(J64,Interview_Slots!$A$2:$D$5,3,FALSE)), "Eligible", "Not Eligible")</f>
        <v>Eligible</v>
      </c>
    </row>
    <row r="65">
      <c r="A65" s="6" t="s">
        <v>160</v>
      </c>
      <c r="B65" s="6" t="s">
        <v>161</v>
      </c>
      <c r="C65" s="6" t="s">
        <v>20</v>
      </c>
      <c r="D65" s="7" t="str">
        <f>VLOOKUP(C65, Dept_Lookup!$A$2:$B$17, 2, FALSE)</f>
        <v>Computer Science</v>
      </c>
      <c r="E65" s="6">
        <v>90.0</v>
      </c>
      <c r="F65" s="6">
        <v>69.0</v>
      </c>
      <c r="G65" s="6">
        <v>92.0</v>
      </c>
      <c r="H65" s="8">
        <v>0.87</v>
      </c>
      <c r="I65" s="7">
        <v>45882.0</v>
      </c>
      <c r="J65" s="6" t="s">
        <v>32</v>
      </c>
      <c r="K65" s="8">
        <v>0.96</v>
      </c>
      <c r="L65" s="9">
        <f>E65*Scoring_Weights!$B$2 + F65*Scoring_Weights!$B$3 + G65*Scoring_Weights!$B$4</f>
        <v>83.65</v>
      </c>
      <c r="M65" s="6" t="str">
        <f>IF(AND(H65&gt;=(VLOOKUP(J65,Interview_Slots!$A$2:$D$5,4,FALSE)/100), L65&gt;=VLOOKUP(J65,Interview_Slots!$A$2:$D$5,3,FALSE)), "Eligible", "Not Eligible")</f>
        <v>Eligible</v>
      </c>
    </row>
    <row r="66">
      <c r="A66" s="6" t="s">
        <v>162</v>
      </c>
      <c r="B66" s="6" t="s">
        <v>163</v>
      </c>
      <c r="C66" s="6" t="s">
        <v>24</v>
      </c>
      <c r="D66" s="7" t="str">
        <f>VLOOKUP(C66, Dept_Lookup!$A$2:$B$17, 2, FALSE)</f>
        <v>Computer Science</v>
      </c>
      <c r="E66" s="6">
        <v>72.0</v>
      </c>
      <c r="F66" s="6">
        <v>88.0</v>
      </c>
      <c r="G66" s="6">
        <v>92.0</v>
      </c>
      <c r="H66" s="8">
        <v>0.9</v>
      </c>
      <c r="I66" s="7">
        <v>45887.0</v>
      </c>
      <c r="J66" s="6" t="s">
        <v>32</v>
      </c>
      <c r="K66" s="8">
        <v>0.84</v>
      </c>
      <c r="L66" s="9">
        <f>E66*Scoring_Weights!$B$2 + F66*Scoring_Weights!$B$3 + G66*Scoring_Weights!$B$4</f>
        <v>87.6</v>
      </c>
      <c r="M66" s="6" t="str">
        <f>IF(AND(H66&gt;=(VLOOKUP(J66,Interview_Slots!$A$2:$D$5,4,FALSE)/100), L66&gt;=VLOOKUP(J66,Interview_Slots!$A$2:$D$5,3,FALSE)), "Eligible", "Not Eligible")</f>
        <v>Eligible</v>
      </c>
    </row>
    <row r="67">
      <c r="A67" s="6" t="s">
        <v>164</v>
      </c>
      <c r="B67" s="6" t="s">
        <v>165</v>
      </c>
      <c r="C67" s="6" t="s">
        <v>28</v>
      </c>
      <c r="D67" s="7" t="str">
        <f>VLOOKUP(C67, Dept_Lookup!$A$2:$B$17, 2, FALSE)</f>
        <v>Computer Science</v>
      </c>
      <c r="E67" s="6">
        <v>95.0</v>
      </c>
      <c r="F67" s="6">
        <v>73.0</v>
      </c>
      <c r="G67" s="6">
        <v>75.0</v>
      </c>
      <c r="H67" s="8">
        <v>0.93</v>
      </c>
      <c r="I67" s="7">
        <v>45929.0</v>
      </c>
      <c r="J67" s="6" t="s">
        <v>17</v>
      </c>
      <c r="K67" s="8">
        <v>0.86</v>
      </c>
      <c r="L67" s="9">
        <f>E67*Scoring_Weights!$B$2 + F67*Scoring_Weights!$B$3 + G67*Scoring_Weights!$B$4</f>
        <v>77.3</v>
      </c>
      <c r="M67" s="6" t="str">
        <f>IF(AND(H67&gt;=(VLOOKUP(J67,Interview_Slots!$A$2:$D$5,4,FALSE)/100), L67&gt;=VLOOKUP(J67,Interview_Slots!$A$2:$D$5,3,FALSE)), "Eligible", "Not Eligible")</f>
        <v>Eligible</v>
      </c>
    </row>
    <row r="68">
      <c r="A68" s="6" t="s">
        <v>166</v>
      </c>
      <c r="B68" s="6" t="s">
        <v>167</v>
      </c>
      <c r="C68" s="6" t="s">
        <v>31</v>
      </c>
      <c r="D68" s="7" t="str">
        <f>VLOOKUP(C68, Dept_Lookup!$A$2:$B$17, 2, FALSE)</f>
        <v>Electronics</v>
      </c>
      <c r="E68" s="6">
        <v>60.0</v>
      </c>
      <c r="F68" s="6">
        <v>78.0</v>
      </c>
      <c r="G68" s="6">
        <v>69.0</v>
      </c>
      <c r="H68" s="8">
        <v>0.86</v>
      </c>
      <c r="I68" s="7">
        <v>45842.0</v>
      </c>
      <c r="J68" s="6" t="s">
        <v>21</v>
      </c>
      <c r="K68" s="8">
        <v>0.86</v>
      </c>
      <c r="L68" s="9">
        <f>E68*Scoring_Weights!$B$2 + F68*Scoring_Weights!$B$3 + G68*Scoring_Weights!$B$4</f>
        <v>70.8</v>
      </c>
      <c r="M68" s="6" t="str">
        <f>IF(AND(H68&gt;=(VLOOKUP(J68,Interview_Slots!$A$2:$D$5,4,FALSE)/100), L68&gt;=VLOOKUP(J68,Interview_Slots!$A$2:$D$5,3,FALSE)), "Eligible", "Not Eligible")</f>
        <v>Eligible</v>
      </c>
    </row>
    <row r="69">
      <c r="A69" s="6" t="s">
        <v>168</v>
      </c>
      <c r="B69" s="6" t="s">
        <v>169</v>
      </c>
      <c r="C69" s="6" t="s">
        <v>35</v>
      </c>
      <c r="D69" s="7" t="str">
        <f>VLOOKUP(C69, Dept_Lookup!$A$2:$B$17, 2, FALSE)</f>
        <v>Electronics</v>
      </c>
      <c r="E69" s="6">
        <v>82.0</v>
      </c>
      <c r="F69" s="6">
        <v>61.0</v>
      </c>
      <c r="G69" s="6">
        <v>65.0</v>
      </c>
      <c r="H69" s="8">
        <v>0.76</v>
      </c>
      <c r="I69" s="7">
        <v>45842.0</v>
      </c>
      <c r="J69" s="6" t="s">
        <v>21</v>
      </c>
      <c r="K69" s="8">
        <v>0.9</v>
      </c>
      <c r="L69" s="9">
        <f>E69*Scoring_Weights!$B$2 + F69*Scoring_Weights!$B$3 + G69*Scoring_Weights!$B$4</f>
        <v>66.15</v>
      </c>
      <c r="M69" s="6" t="str">
        <f>IF(AND(H69&gt;=(VLOOKUP(J69,Interview_Slots!$A$2:$D$5,4,FALSE)/100), L69&gt;=VLOOKUP(J69,Interview_Slots!$A$2:$D$5,3,FALSE)), "Eligible", "Not Eligible")</f>
        <v>Not Eligible</v>
      </c>
    </row>
    <row r="70">
      <c r="A70" s="6" t="s">
        <v>170</v>
      </c>
      <c r="B70" s="6" t="s">
        <v>171</v>
      </c>
      <c r="C70" s="6" t="s">
        <v>38</v>
      </c>
      <c r="D70" s="7" t="str">
        <f>VLOOKUP(C70, Dept_Lookup!$A$2:$B$17, 2, FALSE)</f>
        <v>Electronics</v>
      </c>
      <c r="E70" s="6">
        <v>76.0</v>
      </c>
      <c r="F70" s="6">
        <v>62.0</v>
      </c>
      <c r="G70" s="6">
        <v>94.0</v>
      </c>
      <c r="H70" s="8">
        <v>0.8</v>
      </c>
      <c r="I70" s="7">
        <v>45929.0</v>
      </c>
      <c r="J70" s="6" t="s">
        <v>21</v>
      </c>
      <c r="K70" s="8">
        <v>0.96</v>
      </c>
      <c r="L70" s="9">
        <f>E70*Scoring_Weights!$B$2 + F70*Scoring_Weights!$B$3 + G70*Scoring_Weights!$B$4</f>
        <v>80.1</v>
      </c>
      <c r="M70" s="6" t="str">
        <f>IF(AND(H70&gt;=(VLOOKUP(J70,Interview_Slots!$A$2:$D$5,4,FALSE)/100), L70&gt;=VLOOKUP(J70,Interview_Slots!$A$2:$D$5,3,FALSE)), "Eligible", "Not Eligible")</f>
        <v>Eligible</v>
      </c>
    </row>
    <row r="71">
      <c r="A71" s="6" t="s">
        <v>172</v>
      </c>
      <c r="B71" s="6" t="s">
        <v>173</v>
      </c>
      <c r="C71" s="6" t="s">
        <v>41</v>
      </c>
      <c r="D71" s="7" t="str">
        <f>VLOOKUP(C71, Dept_Lookup!$A$2:$B$17, 2, FALSE)</f>
        <v>Electronics</v>
      </c>
      <c r="E71" s="6">
        <v>63.0</v>
      </c>
      <c r="F71" s="6">
        <v>57.0</v>
      </c>
      <c r="G71" s="6">
        <v>83.0</v>
      </c>
      <c r="H71" s="8">
        <v>0.91</v>
      </c>
      <c r="I71" s="7">
        <v>45893.0</v>
      </c>
      <c r="J71" s="6" t="s">
        <v>25</v>
      </c>
      <c r="K71" s="8">
        <v>0.88</v>
      </c>
      <c r="L71" s="9">
        <f>E71*Scoring_Weights!$B$2 + F71*Scoring_Weights!$B$3 + G71*Scoring_Weights!$B$4</f>
        <v>70.9</v>
      </c>
      <c r="M71" s="6" t="str">
        <f>IF(AND(H71&gt;=(VLOOKUP(J71,Interview_Slots!$A$2:$D$5,4,FALSE)/100), L71&gt;=VLOOKUP(J71,Interview_Slots!$A$2:$D$5,3,FALSE)), "Eligible", "Not Eligible")</f>
        <v>Not Eligible</v>
      </c>
    </row>
    <row r="72">
      <c r="A72" s="6" t="s">
        <v>174</v>
      </c>
      <c r="B72" s="6" t="s">
        <v>175</v>
      </c>
      <c r="C72" s="6" t="s">
        <v>44</v>
      </c>
      <c r="D72" s="7" t="str">
        <f>VLOOKUP(C72, Dept_Lookup!$A$2:$B$17, 2, FALSE)</f>
        <v>Mechanical</v>
      </c>
      <c r="E72" s="6">
        <v>97.0</v>
      </c>
      <c r="F72" s="6">
        <v>87.0</v>
      </c>
      <c r="G72" s="6">
        <v>57.0</v>
      </c>
      <c r="H72" s="8">
        <v>0.78</v>
      </c>
      <c r="I72" s="7">
        <v>45856.0</v>
      </c>
      <c r="J72" s="6" t="s">
        <v>25</v>
      </c>
      <c r="K72" s="8">
        <v>0.81</v>
      </c>
      <c r="L72" s="9">
        <f>E72*Scoring_Weights!$B$2 + F72*Scoring_Weights!$B$3 + G72*Scoring_Weights!$B$4</f>
        <v>73.5</v>
      </c>
      <c r="M72" s="6" t="str">
        <f>IF(AND(H72&gt;=(VLOOKUP(J72,Interview_Slots!$A$2:$D$5,4,FALSE)/100), L72&gt;=VLOOKUP(J72,Interview_Slots!$A$2:$D$5,3,FALSE)), "Eligible", "Not Eligible")</f>
        <v>Not Eligible</v>
      </c>
    </row>
    <row r="73">
      <c r="A73" s="6" t="s">
        <v>176</v>
      </c>
      <c r="B73" s="6" t="s">
        <v>177</v>
      </c>
      <c r="C73" s="6" t="s">
        <v>47</v>
      </c>
      <c r="D73" s="7" t="str">
        <f>VLOOKUP(C73, Dept_Lookup!$A$2:$B$17, 2, FALSE)</f>
        <v>Mechanical</v>
      </c>
      <c r="E73" s="6">
        <v>84.0</v>
      </c>
      <c r="F73" s="6">
        <v>93.0</v>
      </c>
      <c r="G73" s="6">
        <v>96.0</v>
      </c>
      <c r="H73" s="8">
        <v>0.75</v>
      </c>
      <c r="I73" s="7">
        <v>45865.0</v>
      </c>
      <c r="J73" s="6" t="s">
        <v>25</v>
      </c>
      <c r="K73" s="8">
        <v>0.95</v>
      </c>
      <c r="L73" s="9">
        <f>E73*Scoring_Weights!$B$2 + F73*Scoring_Weights!$B$3 + G73*Scoring_Weights!$B$4</f>
        <v>93.15</v>
      </c>
      <c r="M73" s="6" t="str">
        <f>IF(AND(H73&gt;=(VLOOKUP(J73,Interview_Slots!$A$2:$D$5,4,FALSE)/100), L73&gt;=VLOOKUP(J73,Interview_Slots!$A$2:$D$5,3,FALSE)), "Eligible", "Not Eligible")</f>
        <v>Not Eligible</v>
      </c>
    </row>
    <row r="74">
      <c r="A74" s="6" t="s">
        <v>178</v>
      </c>
      <c r="B74" s="6" t="s">
        <v>179</v>
      </c>
      <c r="C74" s="6" t="s">
        <v>50</v>
      </c>
      <c r="D74" s="7" t="str">
        <f>VLOOKUP(C74, Dept_Lookup!$A$2:$B$17, 2, FALSE)</f>
        <v>Mechanical</v>
      </c>
      <c r="E74" s="6">
        <v>69.0</v>
      </c>
      <c r="F74" s="6">
        <v>87.0</v>
      </c>
      <c r="G74" s="6">
        <v>96.0</v>
      </c>
      <c r="H74" s="8">
        <v>0.78</v>
      </c>
      <c r="I74" s="7">
        <v>45865.0</v>
      </c>
      <c r="J74" s="6" t="s">
        <v>17</v>
      </c>
      <c r="K74" s="8">
        <v>0.86</v>
      </c>
      <c r="L74" s="9">
        <f>E74*Scoring_Weights!$B$2 + F74*Scoring_Weights!$B$3 + G74*Scoring_Weights!$B$4</f>
        <v>88.8</v>
      </c>
      <c r="M74" s="6" t="str">
        <f>IF(AND(H74&gt;=(VLOOKUP(J74,Interview_Slots!$A$2:$D$5,4,FALSE)/100), L74&gt;=VLOOKUP(J74,Interview_Slots!$A$2:$D$5,3,FALSE)), "Eligible", "Not Eligible")</f>
        <v>Eligible</v>
      </c>
    </row>
    <row r="75">
      <c r="A75" s="6" t="s">
        <v>180</v>
      </c>
      <c r="B75" s="6" t="s">
        <v>181</v>
      </c>
      <c r="C75" s="6" t="s">
        <v>53</v>
      </c>
      <c r="D75" s="7" t="str">
        <f>VLOOKUP(C75, Dept_Lookup!$A$2:$B$17, 2, FALSE)</f>
        <v>Mechanical</v>
      </c>
      <c r="E75" s="6">
        <v>60.0</v>
      </c>
      <c r="F75" s="6">
        <v>69.0</v>
      </c>
      <c r="G75" s="6">
        <v>82.0</v>
      </c>
      <c r="H75" s="8">
        <v>0.84</v>
      </c>
      <c r="I75" s="7">
        <v>45929.0</v>
      </c>
      <c r="J75" s="6" t="s">
        <v>32</v>
      </c>
      <c r="K75" s="8">
        <v>0.84</v>
      </c>
      <c r="L75" s="9">
        <f>E75*Scoring_Weights!$B$2 + F75*Scoring_Weights!$B$3 + G75*Scoring_Weights!$B$4</f>
        <v>74.15</v>
      </c>
      <c r="M75" s="6" t="str">
        <f>IF(AND(H75&gt;=(VLOOKUP(J75,Interview_Slots!$A$2:$D$5,4,FALSE)/100), L75&gt;=VLOOKUP(J75,Interview_Slots!$A$2:$D$5,3,FALSE)), "Eligible", "Not Eligible")</f>
        <v>Eligible</v>
      </c>
    </row>
    <row r="76">
      <c r="A76" s="6" t="s">
        <v>182</v>
      </c>
      <c r="B76" s="6" t="s">
        <v>183</v>
      </c>
      <c r="C76" s="6" t="s">
        <v>56</v>
      </c>
      <c r="D76" s="7" t="str">
        <f>VLOOKUP(C76, Dept_Lookup!$A$2:$B$17, 2, FALSE)</f>
        <v>Civil</v>
      </c>
      <c r="E76" s="6">
        <v>68.0</v>
      </c>
      <c r="F76" s="6">
        <v>84.0</v>
      </c>
      <c r="G76" s="6">
        <v>85.0</v>
      </c>
      <c r="H76" s="8">
        <v>0.78</v>
      </c>
      <c r="I76" s="7">
        <v>45878.0</v>
      </c>
      <c r="J76" s="6" t="s">
        <v>17</v>
      </c>
      <c r="K76" s="8">
        <v>0.84</v>
      </c>
      <c r="L76" s="9">
        <f>E76*Scoring_Weights!$B$2 + F76*Scoring_Weights!$B$3 + G76*Scoring_Weights!$B$4</f>
        <v>82.1</v>
      </c>
      <c r="M76" s="6" t="str">
        <f>IF(AND(H76&gt;=(VLOOKUP(J76,Interview_Slots!$A$2:$D$5,4,FALSE)/100), L76&gt;=VLOOKUP(J76,Interview_Slots!$A$2:$D$5,3,FALSE)), "Eligible", "Not Eligible")</f>
        <v>Eligible</v>
      </c>
    </row>
    <row r="77">
      <c r="A77" s="6" t="s">
        <v>184</v>
      </c>
      <c r="B77" s="6" t="s">
        <v>185</v>
      </c>
      <c r="C77" s="6" t="s">
        <v>59</v>
      </c>
      <c r="D77" s="7" t="str">
        <f>VLOOKUP(C77, Dept_Lookup!$A$2:$B$17, 2, FALSE)</f>
        <v>Civil</v>
      </c>
      <c r="E77" s="6">
        <v>76.0</v>
      </c>
      <c r="F77" s="6">
        <v>68.0</v>
      </c>
      <c r="G77" s="6">
        <v>63.0</v>
      </c>
      <c r="H77" s="8">
        <v>0.93</v>
      </c>
      <c r="I77" s="7">
        <v>45877.0</v>
      </c>
      <c r="J77" s="6" t="s">
        <v>21</v>
      </c>
      <c r="K77" s="8">
        <v>0.73</v>
      </c>
      <c r="L77" s="9">
        <f>E77*Scoring_Weights!$B$2 + F77*Scoring_Weights!$B$3 + G77*Scoring_Weights!$B$4</f>
        <v>66.7</v>
      </c>
      <c r="M77" s="6" t="str">
        <f>IF(AND(H77&gt;=(VLOOKUP(J77,Interview_Slots!$A$2:$D$5,4,FALSE)/100), L77&gt;=VLOOKUP(J77,Interview_Slots!$A$2:$D$5,3,FALSE)), "Eligible", "Not Eligible")</f>
        <v>Not Eligible</v>
      </c>
    </row>
    <row r="78">
      <c r="A78" s="6" t="s">
        <v>186</v>
      </c>
      <c r="B78" s="6" t="s">
        <v>187</v>
      </c>
      <c r="C78" s="6" t="s">
        <v>62</v>
      </c>
      <c r="D78" s="7" t="str">
        <f>VLOOKUP(C78, Dept_Lookup!$A$2:$B$17, 2, FALSE)</f>
        <v>Civil</v>
      </c>
      <c r="E78" s="6">
        <v>94.0</v>
      </c>
      <c r="F78" s="6">
        <v>84.0</v>
      </c>
      <c r="G78" s="6">
        <v>80.0</v>
      </c>
      <c r="H78" s="8">
        <v>0.95</v>
      </c>
      <c r="I78" s="7">
        <v>45900.0</v>
      </c>
      <c r="J78" s="6" t="s">
        <v>32</v>
      </c>
      <c r="K78" s="8">
        <v>0.76</v>
      </c>
      <c r="L78" s="9">
        <f>E78*Scoring_Weights!$B$2 + F78*Scoring_Weights!$B$3 + G78*Scoring_Weights!$B$4</f>
        <v>83.5</v>
      </c>
      <c r="M78" s="6" t="str">
        <f>IF(AND(H78&gt;=(VLOOKUP(J78,Interview_Slots!$A$2:$D$5,4,FALSE)/100), L78&gt;=VLOOKUP(J78,Interview_Slots!$A$2:$D$5,3,FALSE)), "Eligible", "Not Eligible")</f>
        <v>Eligible</v>
      </c>
    </row>
    <row r="79">
      <c r="A79" s="6" t="s">
        <v>188</v>
      </c>
      <c r="B79" s="6" t="s">
        <v>189</v>
      </c>
      <c r="C79" s="6" t="s">
        <v>65</v>
      </c>
      <c r="D79" s="7" t="str">
        <f>VLOOKUP(C79, Dept_Lookup!$A$2:$B$17, 2, FALSE)</f>
        <v>Civil</v>
      </c>
      <c r="E79" s="6">
        <v>88.0</v>
      </c>
      <c r="F79" s="6">
        <v>66.0</v>
      </c>
      <c r="G79" s="6">
        <v>68.0</v>
      </c>
      <c r="H79" s="8">
        <v>0.86</v>
      </c>
      <c r="I79" s="7">
        <v>45877.0</v>
      </c>
      <c r="J79" s="6" t="s">
        <v>32</v>
      </c>
      <c r="K79" s="8">
        <v>0.76</v>
      </c>
      <c r="L79" s="9">
        <f>E79*Scoring_Weights!$B$2 + F79*Scoring_Weights!$B$3 + G79*Scoring_Weights!$B$4</f>
        <v>70.3</v>
      </c>
      <c r="M79" s="6" t="str">
        <f>IF(AND(H79&gt;=(VLOOKUP(J79,Interview_Slots!$A$2:$D$5,4,FALSE)/100), L79&gt;=VLOOKUP(J79,Interview_Slots!$A$2:$D$5,3,FALSE)), "Eligible", "Not Eligible")</f>
        <v>Eligible</v>
      </c>
    </row>
    <row r="80">
      <c r="A80" s="6" t="s">
        <v>190</v>
      </c>
      <c r="B80" s="6" t="s">
        <v>191</v>
      </c>
      <c r="C80" s="6" t="s">
        <v>16</v>
      </c>
      <c r="D80" s="7" t="str">
        <f>VLOOKUP(C80, Dept_Lookup!$A$2:$B$17, 2, FALSE)</f>
        <v>Computer Science</v>
      </c>
      <c r="E80" s="6">
        <v>97.0</v>
      </c>
      <c r="F80" s="6">
        <v>83.0</v>
      </c>
      <c r="G80" s="6">
        <v>67.0</v>
      </c>
      <c r="H80" s="8">
        <v>0.89</v>
      </c>
      <c r="I80" s="7">
        <v>45889.0</v>
      </c>
      <c r="J80" s="6" t="s">
        <v>17</v>
      </c>
      <c r="K80" s="8">
        <v>0.98</v>
      </c>
      <c r="L80" s="9">
        <f>E80*Scoring_Weights!$B$2 + F80*Scoring_Weights!$B$3 + G80*Scoring_Weights!$B$4</f>
        <v>77.1</v>
      </c>
      <c r="M80" s="6" t="str">
        <f>IF(AND(H80&gt;=(VLOOKUP(J80,Interview_Slots!$A$2:$D$5,4,FALSE)/100), L80&gt;=VLOOKUP(J80,Interview_Slots!$A$2:$D$5,3,FALSE)), "Eligible", "Not Eligible")</f>
        <v>Eligible</v>
      </c>
    </row>
    <row r="81">
      <c r="A81" s="6" t="s">
        <v>192</v>
      </c>
      <c r="B81" s="6" t="s">
        <v>193</v>
      </c>
      <c r="C81" s="6" t="s">
        <v>20</v>
      </c>
      <c r="D81" s="7" t="str">
        <f>VLOOKUP(C81, Dept_Lookup!$A$2:$B$17, 2, FALSE)</f>
        <v>Computer Science</v>
      </c>
      <c r="E81" s="6">
        <v>70.0</v>
      </c>
      <c r="F81" s="6">
        <v>91.0</v>
      </c>
      <c r="G81" s="6">
        <v>64.0</v>
      </c>
      <c r="H81" s="8">
        <v>0.82</v>
      </c>
      <c r="I81" s="7">
        <v>45891.0</v>
      </c>
      <c r="J81" s="6" t="s">
        <v>21</v>
      </c>
      <c r="K81" s="8">
        <v>0.91</v>
      </c>
      <c r="L81" s="9">
        <f>E81*Scoring_Weights!$B$2 + F81*Scoring_Weights!$B$3 + G81*Scoring_Weights!$B$4</f>
        <v>74.35</v>
      </c>
      <c r="M81" s="6" t="str">
        <f>IF(AND(H81&gt;=(VLOOKUP(J81,Interview_Slots!$A$2:$D$5,4,FALSE)/100), L81&gt;=VLOOKUP(J81,Interview_Slots!$A$2:$D$5,3,FALSE)), "Eligible", "Not Eligible")</f>
        <v>Eligible</v>
      </c>
    </row>
    <row r="82">
      <c r="A82" s="6" t="s">
        <v>194</v>
      </c>
      <c r="B82" s="6" t="s">
        <v>195</v>
      </c>
      <c r="C82" s="6" t="s">
        <v>24</v>
      </c>
      <c r="D82" s="7" t="str">
        <f>VLOOKUP(C82, Dept_Lookup!$A$2:$B$17, 2, FALSE)</f>
        <v>Computer Science</v>
      </c>
      <c r="E82" s="6">
        <v>77.0</v>
      </c>
      <c r="F82" s="6">
        <v>68.0</v>
      </c>
      <c r="G82" s="6">
        <v>59.0</v>
      </c>
      <c r="H82" s="8">
        <v>0.93</v>
      </c>
      <c r="I82" s="7">
        <v>45882.0</v>
      </c>
      <c r="J82" s="6" t="s">
        <v>21</v>
      </c>
      <c r="K82" s="8">
        <v>0.92</v>
      </c>
      <c r="L82" s="9">
        <f>E82*Scoring_Weights!$B$2 + F82*Scoring_Weights!$B$3 + G82*Scoring_Weights!$B$4</f>
        <v>64.85</v>
      </c>
      <c r="M82" s="6" t="str">
        <f>IF(AND(H82&gt;=(VLOOKUP(J82,Interview_Slots!$A$2:$D$5,4,FALSE)/100), L82&gt;=VLOOKUP(J82,Interview_Slots!$A$2:$D$5,3,FALSE)), "Eligible", "Not Eligible")</f>
        <v>Not Eligible</v>
      </c>
    </row>
    <row r="83">
      <c r="A83" s="6" t="s">
        <v>196</v>
      </c>
      <c r="B83" s="6" t="s">
        <v>197</v>
      </c>
      <c r="C83" s="6" t="s">
        <v>28</v>
      </c>
      <c r="D83" s="7" t="str">
        <f>VLOOKUP(C83, Dept_Lookup!$A$2:$B$17, 2, FALSE)</f>
        <v>Computer Science</v>
      </c>
      <c r="E83" s="6">
        <v>82.0</v>
      </c>
      <c r="F83" s="6">
        <v>72.0</v>
      </c>
      <c r="G83" s="6">
        <v>89.0</v>
      </c>
      <c r="H83" s="8">
        <v>0.87</v>
      </c>
      <c r="I83" s="7">
        <v>45870.0</v>
      </c>
      <c r="J83" s="6" t="s">
        <v>21</v>
      </c>
      <c r="K83" s="8">
        <v>0.8</v>
      </c>
      <c r="L83" s="9">
        <f>E83*Scoring_Weights!$B$2 + F83*Scoring_Weights!$B$3 + G83*Scoring_Weights!$B$4</f>
        <v>82</v>
      </c>
      <c r="M83" s="6" t="str">
        <f>IF(AND(H83&gt;=(VLOOKUP(J83,Interview_Slots!$A$2:$D$5,4,FALSE)/100), L83&gt;=VLOOKUP(J83,Interview_Slots!$A$2:$D$5,3,FALSE)), "Eligible", "Not Eligible")</f>
        <v>Eligible</v>
      </c>
    </row>
    <row r="84">
      <c r="A84" s="6" t="s">
        <v>198</v>
      </c>
      <c r="B84" s="6" t="s">
        <v>199</v>
      </c>
      <c r="C84" s="6" t="s">
        <v>31</v>
      </c>
      <c r="D84" s="7" t="str">
        <f>VLOOKUP(C84, Dept_Lookup!$A$2:$B$17, 2, FALSE)</f>
        <v>Electronics</v>
      </c>
      <c r="E84" s="6">
        <v>77.0</v>
      </c>
      <c r="F84" s="6">
        <v>59.0</v>
      </c>
      <c r="G84" s="6">
        <v>70.0</v>
      </c>
      <c r="H84" s="8">
        <v>0.87</v>
      </c>
      <c r="I84" s="7">
        <v>45900.0</v>
      </c>
      <c r="J84" s="6" t="s">
        <v>25</v>
      </c>
      <c r="K84" s="8">
        <v>0.9</v>
      </c>
      <c r="L84" s="9">
        <f>E84*Scoring_Weights!$B$2 + F84*Scoring_Weights!$B$3 + G84*Scoring_Weights!$B$4</f>
        <v>67.2</v>
      </c>
      <c r="M84" s="6" t="str">
        <f>IF(AND(H84&gt;=(VLOOKUP(J84,Interview_Slots!$A$2:$D$5,4,FALSE)/100), L84&gt;=VLOOKUP(J84,Interview_Slots!$A$2:$D$5,3,FALSE)), "Eligible", "Not Eligible")</f>
        <v>Not Eligible</v>
      </c>
    </row>
    <row r="85">
      <c r="A85" s="6" t="s">
        <v>200</v>
      </c>
      <c r="B85" s="6" t="s">
        <v>201</v>
      </c>
      <c r="C85" s="6" t="s">
        <v>35</v>
      </c>
      <c r="D85" s="7" t="str">
        <f>VLOOKUP(C85, Dept_Lookup!$A$2:$B$17, 2, FALSE)</f>
        <v>Electronics</v>
      </c>
      <c r="E85" s="6">
        <v>75.0</v>
      </c>
      <c r="F85" s="6">
        <v>98.0</v>
      </c>
      <c r="G85" s="6">
        <v>75.0</v>
      </c>
      <c r="H85" s="8">
        <v>0.92</v>
      </c>
      <c r="I85" s="7">
        <v>45877.0</v>
      </c>
      <c r="J85" s="6" t="s">
        <v>25</v>
      </c>
      <c r="K85" s="8">
        <v>0.87</v>
      </c>
      <c r="L85" s="9">
        <f>E85*Scoring_Weights!$B$2 + F85*Scoring_Weights!$B$3 + G85*Scoring_Weights!$B$4</f>
        <v>83.05</v>
      </c>
      <c r="M85" s="6" t="str">
        <f>IF(AND(H85&gt;=(VLOOKUP(J85,Interview_Slots!$A$2:$D$5,4,FALSE)/100), L85&gt;=VLOOKUP(J85,Interview_Slots!$A$2:$D$5,3,FALSE)), "Eligible", "Not Eligible")</f>
        <v>Eligible</v>
      </c>
    </row>
    <row r="86">
      <c r="A86" s="6" t="s">
        <v>202</v>
      </c>
      <c r="B86" s="6" t="s">
        <v>203</v>
      </c>
      <c r="C86" s="6" t="s">
        <v>38</v>
      </c>
      <c r="D86" s="7" t="str">
        <f>VLOOKUP(C86, Dept_Lookup!$A$2:$B$17, 2, FALSE)</f>
        <v>Electronics</v>
      </c>
      <c r="E86" s="6">
        <v>98.0</v>
      </c>
      <c r="F86" s="6">
        <v>65.0</v>
      </c>
      <c r="G86" s="6">
        <v>70.0</v>
      </c>
      <c r="H86" s="8">
        <v>0.91</v>
      </c>
      <c r="I86" s="7">
        <v>45880.0</v>
      </c>
      <c r="J86" s="6" t="s">
        <v>25</v>
      </c>
      <c r="K86" s="8">
        <v>0.98</v>
      </c>
      <c r="L86" s="9">
        <f>E86*Scoring_Weights!$B$2 + F86*Scoring_Weights!$B$3 + G86*Scoring_Weights!$B$4</f>
        <v>72.45</v>
      </c>
      <c r="M86" s="6" t="str">
        <f>IF(AND(H86&gt;=(VLOOKUP(J86,Interview_Slots!$A$2:$D$5,4,FALSE)/100), L86&gt;=VLOOKUP(J86,Interview_Slots!$A$2:$D$5,3,FALSE)), "Eligible", "Not Eligible")</f>
        <v>Not Eligible</v>
      </c>
    </row>
    <row r="87">
      <c r="A87" s="6" t="s">
        <v>204</v>
      </c>
      <c r="B87" s="6" t="s">
        <v>205</v>
      </c>
      <c r="C87" s="6" t="s">
        <v>41</v>
      </c>
      <c r="D87" s="7" t="str">
        <f>VLOOKUP(C87, Dept_Lookup!$A$2:$B$17, 2, FALSE)</f>
        <v>Electronics</v>
      </c>
      <c r="E87" s="6">
        <v>57.0</v>
      </c>
      <c r="F87" s="6">
        <v>58.0</v>
      </c>
      <c r="G87" s="6">
        <v>85.0</v>
      </c>
      <c r="H87" s="8">
        <v>0.81</v>
      </c>
      <c r="I87" s="7">
        <v>45878.0</v>
      </c>
      <c r="J87" s="6" t="s">
        <v>17</v>
      </c>
      <c r="K87" s="8">
        <v>0.76</v>
      </c>
      <c r="L87" s="9">
        <f>E87*Scoring_Weights!$B$2 + F87*Scoring_Weights!$B$3 + G87*Scoring_Weights!$B$4</f>
        <v>71.35</v>
      </c>
      <c r="M87" s="6" t="str">
        <f>IF(AND(H87&gt;=(VLOOKUP(J87,Interview_Slots!$A$2:$D$5,4,FALSE)/100), L87&gt;=VLOOKUP(J87,Interview_Slots!$A$2:$D$5,3,FALSE)), "Eligible", "Not Eligible")</f>
        <v>Eligible</v>
      </c>
    </row>
    <row r="88">
      <c r="A88" s="6" t="s">
        <v>206</v>
      </c>
      <c r="B88" s="6" t="s">
        <v>207</v>
      </c>
      <c r="C88" s="6" t="s">
        <v>44</v>
      </c>
      <c r="D88" s="7" t="str">
        <f>VLOOKUP(C88, Dept_Lookup!$A$2:$B$17, 2, FALSE)</f>
        <v>Mechanical</v>
      </c>
      <c r="E88" s="6">
        <v>79.0</v>
      </c>
      <c r="F88" s="6">
        <v>72.0</v>
      </c>
      <c r="G88" s="6">
        <v>62.0</v>
      </c>
      <c r="H88" s="8">
        <v>0.91</v>
      </c>
      <c r="I88" s="7">
        <v>45865.0</v>
      </c>
      <c r="J88" s="6" t="s">
        <v>32</v>
      </c>
      <c r="K88" s="8">
        <v>0.93</v>
      </c>
      <c r="L88" s="9">
        <f>E88*Scoring_Weights!$B$2 + F88*Scoring_Weights!$B$3 + G88*Scoring_Weights!$B$4</f>
        <v>68.05</v>
      </c>
      <c r="M88" s="6" t="str">
        <f>IF(AND(H88&gt;=(VLOOKUP(J88,Interview_Slots!$A$2:$D$5,4,FALSE)/100), L88&gt;=VLOOKUP(J88,Interview_Slots!$A$2:$D$5,3,FALSE)), "Eligible", "Not Eligible")</f>
        <v>Eligible</v>
      </c>
    </row>
    <row r="89">
      <c r="A89" s="6" t="s">
        <v>208</v>
      </c>
      <c r="B89" s="6" t="s">
        <v>209</v>
      </c>
      <c r="C89" s="6" t="s">
        <v>47</v>
      </c>
      <c r="D89" s="7" t="str">
        <f>VLOOKUP(C89, Dept_Lookup!$A$2:$B$17, 2, FALSE)</f>
        <v>Mechanical</v>
      </c>
      <c r="E89" s="6">
        <v>79.0</v>
      </c>
      <c r="F89" s="6">
        <v>71.0</v>
      </c>
      <c r="G89" s="6">
        <v>81.0</v>
      </c>
      <c r="H89" s="8">
        <v>0.95</v>
      </c>
      <c r="I89" s="7">
        <v>45879.0</v>
      </c>
      <c r="J89" s="6" t="s">
        <v>17</v>
      </c>
      <c r="K89" s="8">
        <v>0.93</v>
      </c>
      <c r="L89" s="9">
        <f>E89*Scoring_Weights!$B$2 + F89*Scoring_Weights!$B$3 + G89*Scoring_Weights!$B$4</f>
        <v>77.2</v>
      </c>
      <c r="M89" s="6" t="str">
        <f>IF(AND(H89&gt;=(VLOOKUP(J89,Interview_Slots!$A$2:$D$5,4,FALSE)/100), L89&gt;=VLOOKUP(J89,Interview_Slots!$A$2:$D$5,3,FALSE)), "Eligible", "Not Eligible")</f>
        <v>Eligible</v>
      </c>
    </row>
    <row r="90">
      <c r="A90" s="6" t="s">
        <v>210</v>
      </c>
      <c r="B90" s="6" t="s">
        <v>211</v>
      </c>
      <c r="C90" s="6" t="s">
        <v>50</v>
      </c>
      <c r="D90" s="7" t="str">
        <f>VLOOKUP(C90, Dept_Lookup!$A$2:$B$17, 2, FALSE)</f>
        <v>Mechanical</v>
      </c>
      <c r="E90" s="6">
        <v>92.0</v>
      </c>
      <c r="F90" s="6">
        <v>83.0</v>
      </c>
      <c r="G90" s="6">
        <v>96.0</v>
      </c>
      <c r="H90" s="8">
        <v>0.82</v>
      </c>
      <c r="I90" s="7">
        <v>45903.0</v>
      </c>
      <c r="J90" s="6" t="s">
        <v>21</v>
      </c>
      <c r="K90" s="8">
        <v>0.79</v>
      </c>
      <c r="L90" s="9">
        <f>E90*Scoring_Weights!$B$2 + F90*Scoring_Weights!$B$3 + G90*Scoring_Weights!$B$4</f>
        <v>90.85</v>
      </c>
      <c r="M90" s="6" t="str">
        <f>IF(AND(H90&gt;=(VLOOKUP(J90,Interview_Slots!$A$2:$D$5,4,FALSE)/100), L90&gt;=VLOOKUP(J90,Interview_Slots!$A$2:$D$5,3,FALSE)), "Eligible", "Not Eligible")</f>
        <v>Eligible</v>
      </c>
    </row>
    <row r="91">
      <c r="A91" s="6" t="s">
        <v>212</v>
      </c>
      <c r="B91" s="6" t="s">
        <v>213</v>
      </c>
      <c r="C91" s="6" t="s">
        <v>53</v>
      </c>
      <c r="D91" s="7" t="str">
        <f>VLOOKUP(C91, Dept_Lookup!$A$2:$B$17, 2, FALSE)</f>
        <v>Mechanical</v>
      </c>
      <c r="E91" s="6">
        <v>98.0</v>
      </c>
      <c r="F91" s="6">
        <v>82.0</v>
      </c>
      <c r="G91" s="6">
        <v>59.0</v>
      </c>
      <c r="H91" s="8">
        <v>0.85</v>
      </c>
      <c r="I91" s="7">
        <v>45878.0</v>
      </c>
      <c r="J91" s="6" t="s">
        <v>32</v>
      </c>
      <c r="K91" s="8">
        <v>0.84</v>
      </c>
      <c r="L91" s="9">
        <f>E91*Scoring_Weights!$B$2 + F91*Scoring_Weights!$B$3 + G91*Scoring_Weights!$B$4</f>
        <v>72.9</v>
      </c>
      <c r="M91" s="6" t="str">
        <f>IF(AND(H91&gt;=(VLOOKUP(J91,Interview_Slots!$A$2:$D$5,4,FALSE)/100), L91&gt;=VLOOKUP(J91,Interview_Slots!$A$2:$D$5,3,FALSE)), "Eligible", "Not Eligible")</f>
        <v>Eligible</v>
      </c>
    </row>
    <row r="92">
      <c r="A92" s="6" t="s">
        <v>214</v>
      </c>
      <c r="B92" s="6" t="s">
        <v>215</v>
      </c>
      <c r="C92" s="6" t="s">
        <v>56</v>
      </c>
      <c r="D92" s="7" t="str">
        <f>VLOOKUP(C92, Dept_Lookup!$A$2:$B$17, 2, FALSE)</f>
        <v>Civil</v>
      </c>
      <c r="E92" s="6">
        <v>75.0</v>
      </c>
      <c r="F92" s="6">
        <v>90.0</v>
      </c>
      <c r="G92" s="6">
        <v>62.0</v>
      </c>
      <c r="H92" s="8">
        <v>0.82</v>
      </c>
      <c r="I92" s="7">
        <v>45856.0</v>
      </c>
      <c r="J92" s="6" t="s">
        <v>32</v>
      </c>
      <c r="K92" s="8">
        <v>0.91</v>
      </c>
      <c r="L92" s="9">
        <f>E92*Scoring_Weights!$B$2 + F92*Scoring_Weights!$B$3 + G92*Scoring_Weights!$B$4</f>
        <v>73.75</v>
      </c>
      <c r="M92" s="6" t="str">
        <f>IF(AND(H92&gt;=(VLOOKUP(J92,Interview_Slots!$A$2:$D$5,4,FALSE)/100), L92&gt;=VLOOKUP(J92,Interview_Slots!$A$2:$D$5,3,FALSE)), "Eligible", "Not Eligible")</f>
        <v>Eligible</v>
      </c>
    </row>
    <row r="93">
      <c r="A93" s="6" t="s">
        <v>216</v>
      </c>
      <c r="B93" s="6" t="s">
        <v>217</v>
      </c>
      <c r="C93" s="6" t="s">
        <v>59</v>
      </c>
      <c r="D93" s="7" t="str">
        <f>VLOOKUP(C93, Dept_Lookup!$A$2:$B$17, 2, FALSE)</f>
        <v>Civil</v>
      </c>
      <c r="E93" s="6">
        <v>71.0</v>
      </c>
      <c r="F93" s="6">
        <v>60.0</v>
      </c>
      <c r="G93" s="6">
        <v>89.0</v>
      </c>
      <c r="H93" s="8">
        <v>0.75</v>
      </c>
      <c r="I93" s="7">
        <v>45878.0</v>
      </c>
      <c r="J93" s="6" t="s">
        <v>17</v>
      </c>
      <c r="K93" s="8">
        <v>0.94</v>
      </c>
      <c r="L93" s="9">
        <f>E93*Scoring_Weights!$B$2 + F93*Scoring_Weights!$B$3 + G93*Scoring_Weights!$B$4</f>
        <v>76.15</v>
      </c>
      <c r="M93" s="6" t="str">
        <f>IF(AND(H93&gt;=(VLOOKUP(J93,Interview_Slots!$A$2:$D$5,4,FALSE)/100), L93&gt;=VLOOKUP(J93,Interview_Slots!$A$2:$D$5,3,FALSE)), "Eligible", "Not Eligible")</f>
        <v>Eligible</v>
      </c>
    </row>
    <row r="94">
      <c r="A94" s="6" t="s">
        <v>218</v>
      </c>
      <c r="B94" s="6" t="s">
        <v>219</v>
      </c>
      <c r="C94" s="6" t="s">
        <v>62</v>
      </c>
      <c r="D94" s="7" t="str">
        <f>VLOOKUP(C94, Dept_Lookup!$A$2:$B$17, 2, FALSE)</f>
        <v>Civil</v>
      </c>
      <c r="E94" s="6">
        <v>60.0</v>
      </c>
      <c r="F94" s="6">
        <v>55.0</v>
      </c>
      <c r="G94" s="6">
        <v>67.0</v>
      </c>
      <c r="H94" s="8">
        <v>0.78</v>
      </c>
      <c r="I94" s="7">
        <v>45913.0</v>
      </c>
      <c r="J94" s="6" t="s">
        <v>21</v>
      </c>
      <c r="K94" s="8">
        <v>0.81</v>
      </c>
      <c r="L94" s="9">
        <f>E94*Scoring_Weights!$B$2 + F94*Scoring_Weights!$B$3 + G94*Scoring_Weights!$B$4</f>
        <v>61.75</v>
      </c>
      <c r="M94" s="6" t="str">
        <f>IF(AND(H94&gt;=(VLOOKUP(J94,Interview_Slots!$A$2:$D$5,4,FALSE)/100), L94&gt;=VLOOKUP(J94,Interview_Slots!$A$2:$D$5,3,FALSE)), "Eligible", "Not Eligible")</f>
        <v>Not Eligible</v>
      </c>
    </row>
    <row r="95">
      <c r="A95" s="6" t="s">
        <v>220</v>
      </c>
      <c r="B95" s="6" t="s">
        <v>221</v>
      </c>
      <c r="C95" s="6" t="s">
        <v>16</v>
      </c>
      <c r="D95" s="7" t="str">
        <f>VLOOKUP(C95, Dept_Lookup!$A$2:$B$17, 2, FALSE)</f>
        <v>Computer Science</v>
      </c>
      <c r="E95" s="6">
        <v>98.0</v>
      </c>
      <c r="F95" s="6">
        <v>56.0</v>
      </c>
      <c r="G95" s="6">
        <v>77.0</v>
      </c>
      <c r="H95" s="8">
        <v>0.85</v>
      </c>
      <c r="I95" s="7">
        <v>45900.0</v>
      </c>
      <c r="J95" s="6" t="s">
        <v>32</v>
      </c>
      <c r="K95" s="8">
        <v>0.77</v>
      </c>
      <c r="L95" s="9">
        <f>E95*Scoring_Weights!$B$2 + F95*Scoring_Weights!$B$3 + G95*Scoring_Weights!$B$4</f>
        <v>72.8</v>
      </c>
      <c r="M95" s="6" t="str">
        <f>IF(AND(H95&gt;=(VLOOKUP(J95,Interview_Slots!$A$2:$D$5,4,FALSE)/100), L95&gt;=VLOOKUP(J95,Interview_Slots!$A$2:$D$5,3,FALSE)), "Eligible", "Not Eligible")</f>
        <v>Eligible</v>
      </c>
    </row>
    <row r="96">
      <c r="A96" s="6" t="s">
        <v>222</v>
      </c>
      <c r="B96" s="6" t="s">
        <v>223</v>
      </c>
      <c r="C96" s="6" t="s">
        <v>20</v>
      </c>
      <c r="D96" s="7" t="str">
        <f>VLOOKUP(C96, Dept_Lookup!$A$2:$B$17, 2, FALSE)</f>
        <v>Computer Science</v>
      </c>
      <c r="E96" s="6">
        <v>82.0</v>
      </c>
      <c r="F96" s="6">
        <v>74.0</v>
      </c>
      <c r="G96" s="6">
        <v>86.0</v>
      </c>
      <c r="H96" s="8">
        <v>0.8</v>
      </c>
      <c r="I96" s="7">
        <v>45877.0</v>
      </c>
      <c r="J96" s="6" t="s">
        <v>21</v>
      </c>
      <c r="K96" s="8">
        <v>0.89</v>
      </c>
      <c r="L96" s="9">
        <f>E96*Scoring_Weights!$B$2 + F96*Scoring_Weights!$B$3 + G96*Scoring_Weights!$B$4</f>
        <v>81.2</v>
      </c>
      <c r="M96" s="6" t="str">
        <f>IF(AND(H96&gt;=(VLOOKUP(J96,Interview_Slots!$A$2:$D$5,4,FALSE)/100), L96&gt;=VLOOKUP(J96,Interview_Slots!$A$2:$D$5,3,FALSE)), "Eligible", "Not Eligible")</f>
        <v>Eligible</v>
      </c>
    </row>
    <row r="97">
      <c r="A97" s="6" t="s">
        <v>224</v>
      </c>
      <c r="B97" s="6" t="s">
        <v>225</v>
      </c>
      <c r="C97" s="6" t="s">
        <v>24</v>
      </c>
      <c r="D97" s="7" t="str">
        <f>VLOOKUP(C97, Dept_Lookup!$A$2:$B$17, 2, FALSE)</f>
        <v>Computer Science</v>
      </c>
      <c r="E97" s="6">
        <v>89.0</v>
      </c>
      <c r="F97" s="6">
        <v>85.0</v>
      </c>
      <c r="G97" s="6">
        <v>80.0</v>
      </c>
      <c r="H97" s="8">
        <v>0.83</v>
      </c>
      <c r="I97" s="7">
        <v>45929.0</v>
      </c>
      <c r="J97" s="6" t="s">
        <v>25</v>
      </c>
      <c r="K97" s="8">
        <v>0.78</v>
      </c>
      <c r="L97" s="9">
        <f>E97*Scoring_Weights!$B$2 + F97*Scoring_Weights!$B$3 + G97*Scoring_Weights!$B$4</f>
        <v>83.1</v>
      </c>
      <c r="M97" s="6" t="str">
        <f>IF(AND(H97&gt;=(VLOOKUP(J97,Interview_Slots!$A$2:$D$5,4,FALSE)/100), L97&gt;=VLOOKUP(J97,Interview_Slots!$A$2:$D$5,3,FALSE)), "Eligible", "Not Eligible")</f>
        <v>Not Eligible</v>
      </c>
    </row>
    <row r="98">
      <c r="A98" s="6" t="s">
        <v>226</v>
      </c>
      <c r="B98" s="6" t="s">
        <v>227</v>
      </c>
      <c r="C98" s="6" t="s">
        <v>28</v>
      </c>
      <c r="D98" s="7" t="str">
        <f>VLOOKUP(C98, Dept_Lookup!$A$2:$B$17, 2, FALSE)</f>
        <v>Computer Science</v>
      </c>
      <c r="E98" s="6">
        <v>91.0</v>
      </c>
      <c r="F98" s="6">
        <v>89.0</v>
      </c>
      <c r="G98" s="6">
        <v>73.0</v>
      </c>
      <c r="H98" s="8">
        <v>0.77</v>
      </c>
      <c r="I98" s="7">
        <v>45865.0</v>
      </c>
      <c r="J98" s="6" t="s">
        <v>25</v>
      </c>
      <c r="K98" s="8">
        <v>0.97</v>
      </c>
      <c r="L98" s="9">
        <f>E98*Scoring_Weights!$B$2 + F98*Scoring_Weights!$B$3 + G98*Scoring_Weights!$B$4</f>
        <v>81.3</v>
      </c>
      <c r="M98" s="6" t="str">
        <f>IF(AND(H98&gt;=(VLOOKUP(J98,Interview_Slots!$A$2:$D$5,4,FALSE)/100), L98&gt;=VLOOKUP(J98,Interview_Slots!$A$2:$D$5,3,FALSE)), "Eligible", "Not Eligible")</f>
        <v>Not Eligible</v>
      </c>
    </row>
    <row r="99">
      <c r="A99" s="6" t="s">
        <v>228</v>
      </c>
      <c r="B99" s="6" t="s">
        <v>229</v>
      </c>
      <c r="C99" s="6" t="s">
        <v>31</v>
      </c>
      <c r="D99" s="7" t="str">
        <f>VLOOKUP(C99, Dept_Lookup!$A$2:$B$17, 2, FALSE)</f>
        <v>Electronics</v>
      </c>
      <c r="E99" s="6">
        <v>87.0</v>
      </c>
      <c r="F99" s="6">
        <v>96.0</v>
      </c>
      <c r="G99" s="6">
        <v>88.0</v>
      </c>
      <c r="H99" s="8">
        <v>0.91</v>
      </c>
      <c r="I99" s="7">
        <v>45879.0</v>
      </c>
      <c r="J99" s="6" t="s">
        <v>21</v>
      </c>
      <c r="K99" s="8">
        <v>0.76</v>
      </c>
      <c r="L99" s="9">
        <f>E99*Scoring_Weights!$B$2 + F99*Scoring_Weights!$B$3 + G99*Scoring_Weights!$B$4</f>
        <v>90.65</v>
      </c>
      <c r="M99" s="6" t="str">
        <f>IF(AND(H99&gt;=(VLOOKUP(J99,Interview_Slots!$A$2:$D$5,4,FALSE)/100), L99&gt;=VLOOKUP(J99,Interview_Slots!$A$2:$D$5,3,FALSE)), "Eligible", "Not Eligible")</f>
        <v>Eligible</v>
      </c>
    </row>
    <row r="100">
      <c r="A100" s="6" t="s">
        <v>230</v>
      </c>
      <c r="B100" s="6" t="s">
        <v>231</v>
      </c>
      <c r="C100" s="6" t="s">
        <v>35</v>
      </c>
      <c r="D100" s="7" t="str">
        <f>VLOOKUP(C100, Dept_Lookup!$A$2:$B$17, 2, FALSE)</f>
        <v>Electronics</v>
      </c>
      <c r="E100" s="6">
        <v>97.0</v>
      </c>
      <c r="F100" s="6">
        <v>91.0</v>
      </c>
      <c r="G100" s="6">
        <v>55.0</v>
      </c>
      <c r="H100" s="8">
        <v>0.77</v>
      </c>
      <c r="I100" s="7">
        <v>45881.0</v>
      </c>
      <c r="J100" s="6" t="s">
        <v>21</v>
      </c>
      <c r="K100" s="8">
        <v>1.0</v>
      </c>
      <c r="L100" s="9">
        <f>E100*Scoring_Weights!$B$2 + F100*Scoring_Weights!$B$3 + G100*Scoring_Weights!$B$4</f>
        <v>73.9</v>
      </c>
      <c r="M100" s="6" t="str">
        <f>IF(AND(H100&gt;=(VLOOKUP(J100,Interview_Slots!$A$2:$D$5,4,FALSE)/100), L100&gt;=VLOOKUP(J100,Interview_Slots!$A$2:$D$5,3,FALSE)), "Eligible", "Not Eligible")</f>
        <v>Not Eligible</v>
      </c>
    </row>
    <row r="101">
      <c r="A101" s="6" t="s">
        <v>232</v>
      </c>
      <c r="B101" s="6" t="s">
        <v>233</v>
      </c>
      <c r="C101" s="6" t="s">
        <v>38</v>
      </c>
      <c r="D101" s="7" t="str">
        <f>VLOOKUP(C101, Dept_Lookup!$A$2:$B$17, 2, FALSE)</f>
        <v>Electronics</v>
      </c>
      <c r="E101" s="6">
        <v>70.0</v>
      </c>
      <c r="F101" s="6">
        <v>81.0</v>
      </c>
      <c r="G101" s="6">
        <v>86.0</v>
      </c>
      <c r="H101" s="8">
        <v>0.82</v>
      </c>
      <c r="I101" s="11">
        <v>45898.0</v>
      </c>
      <c r="J101" s="6" t="s">
        <v>32</v>
      </c>
      <c r="K101" s="8">
        <v>0.97</v>
      </c>
      <c r="L101" s="9">
        <f>E101*Scoring_Weights!$B$2 + F101*Scoring_Weights!$B$3 + G101*Scoring_Weights!$B$4</f>
        <v>81.85</v>
      </c>
      <c r="M101" s="6" t="str">
        <f>IF(AND(H101&gt;=(VLOOKUP(J101,Interview_Slots!$A$2:$D$5,4,FALSE)/100), L101&gt;=VLOOKUP(J101,Interview_Slots!$A$2:$D$5,3,FALSE)), "Eligible", "Not Eligible")</f>
        <v>Eligible</v>
      </c>
    </row>
    <row r="102">
      <c r="A102" s="6" t="s">
        <v>234</v>
      </c>
      <c r="B102" s="6" t="s">
        <v>235</v>
      </c>
      <c r="C102" s="6" t="s">
        <v>41</v>
      </c>
      <c r="D102" s="7" t="str">
        <f>VLOOKUP(C102, Dept_Lookup!$A$2:$B$17, 2, FALSE)</f>
        <v>Electronics</v>
      </c>
      <c r="E102" s="6">
        <v>77.0</v>
      </c>
      <c r="F102" s="6">
        <v>62.0</v>
      </c>
      <c r="G102" s="6">
        <v>72.0</v>
      </c>
      <c r="H102" s="8">
        <v>0.86</v>
      </c>
      <c r="I102" s="7">
        <v>45860.0</v>
      </c>
      <c r="J102" s="6" t="s">
        <v>17</v>
      </c>
      <c r="K102" s="8">
        <v>0.88</v>
      </c>
      <c r="L102" s="9">
        <f>E102*Scoring_Weights!$B$2 + F102*Scoring_Weights!$B$3 + G102*Scoring_Weights!$B$4</f>
        <v>69.25</v>
      </c>
      <c r="M102" s="6" t="str">
        <f>IF(AND(H102&gt;=(VLOOKUP(J102,Interview_Slots!$A$2:$D$5,4,FALSE)/100), L102&gt;=VLOOKUP(J102,Interview_Slots!$A$2:$D$5,3,FALSE)), "Eligible", "Not Eligible")</f>
        <v>Eligible</v>
      </c>
    </row>
    <row r="103">
      <c r="A103" s="6" t="s">
        <v>236</v>
      </c>
      <c r="B103" s="6" t="s">
        <v>237</v>
      </c>
      <c r="C103" s="6" t="s">
        <v>44</v>
      </c>
      <c r="D103" s="7" t="str">
        <f>VLOOKUP(C103, Dept_Lookup!$A$2:$B$17, 2, FALSE)</f>
        <v>Mechanical</v>
      </c>
      <c r="E103" s="6">
        <v>95.0</v>
      </c>
      <c r="F103" s="6">
        <v>78.0</v>
      </c>
      <c r="G103" s="6">
        <v>59.0</v>
      </c>
      <c r="H103" s="8">
        <v>0.91</v>
      </c>
      <c r="I103" s="7">
        <v>45913.0</v>
      </c>
      <c r="J103" s="6" t="s">
        <v>21</v>
      </c>
      <c r="K103" s="8">
        <v>0.79</v>
      </c>
      <c r="L103" s="9">
        <f>E103*Scoring_Weights!$B$2 + F103*Scoring_Weights!$B$3 + G103*Scoring_Weights!$B$4</f>
        <v>71.05</v>
      </c>
      <c r="M103" s="6" t="str">
        <f>IF(AND(H103&gt;=(VLOOKUP(J103,Interview_Slots!$A$2:$D$5,4,FALSE)/100), L103&gt;=VLOOKUP(J103,Interview_Slots!$A$2:$D$5,3,FALSE)), "Eligible", "Not Eligible")</f>
        <v>Eligible</v>
      </c>
    </row>
    <row r="104">
      <c r="A104" s="6" t="s">
        <v>238</v>
      </c>
      <c r="B104" s="6" t="s">
        <v>239</v>
      </c>
      <c r="C104" s="6" t="s">
        <v>47</v>
      </c>
      <c r="D104" s="7" t="str">
        <f>VLOOKUP(C104, Dept_Lookup!$A$2:$B$17, 2, FALSE)</f>
        <v>Mechanical</v>
      </c>
      <c r="E104" s="6">
        <v>76.0</v>
      </c>
      <c r="F104" s="6">
        <v>97.0</v>
      </c>
      <c r="G104" s="6">
        <v>78.0</v>
      </c>
      <c r="H104" s="8">
        <v>0.83</v>
      </c>
      <c r="I104" s="7">
        <v>45870.0</v>
      </c>
      <c r="J104" s="6" t="s">
        <v>32</v>
      </c>
      <c r="K104" s="8">
        <v>0.91</v>
      </c>
      <c r="L104" s="9">
        <f>E104*Scoring_Weights!$B$2 + F104*Scoring_Weights!$B$3 + G104*Scoring_Weights!$B$4</f>
        <v>84.35</v>
      </c>
      <c r="M104" s="6" t="str">
        <f>IF(AND(H104&gt;=(VLOOKUP(J104,Interview_Slots!$A$2:$D$5,4,FALSE)/100), L104&gt;=VLOOKUP(J104,Interview_Slots!$A$2:$D$5,3,FALSE)), "Eligible", "Not Eligible")</f>
        <v>Eligible</v>
      </c>
    </row>
    <row r="105">
      <c r="A105" s="6" t="s">
        <v>240</v>
      </c>
      <c r="B105" s="6" t="s">
        <v>241</v>
      </c>
      <c r="C105" s="6" t="s">
        <v>50</v>
      </c>
      <c r="D105" s="7" t="str">
        <f>VLOOKUP(C105, Dept_Lookup!$A$2:$B$17, 2, FALSE)</f>
        <v>Mechanical</v>
      </c>
      <c r="E105" s="6">
        <v>70.0</v>
      </c>
      <c r="F105" s="6">
        <v>84.0</v>
      </c>
      <c r="G105" s="6">
        <v>56.0</v>
      </c>
      <c r="H105" s="8">
        <v>0.86</v>
      </c>
      <c r="I105" s="7">
        <v>45872.0</v>
      </c>
      <c r="J105" s="6" t="s">
        <v>32</v>
      </c>
      <c r="K105" s="8">
        <v>0.92</v>
      </c>
      <c r="L105" s="9">
        <f>E105*Scoring_Weights!$B$2 + F105*Scoring_Weights!$B$3 + G105*Scoring_Weights!$B$4</f>
        <v>67.9</v>
      </c>
      <c r="M105" s="6" t="str">
        <f>IF(AND(H105&gt;=(VLOOKUP(J105,Interview_Slots!$A$2:$D$5,4,FALSE)/100), L105&gt;=VLOOKUP(J105,Interview_Slots!$A$2:$D$5,3,FALSE)), "Eligible", "Not Eligible")</f>
        <v>Eligible</v>
      </c>
    </row>
    <row r="106">
      <c r="A106" s="6" t="s">
        <v>242</v>
      </c>
      <c r="B106" s="6" t="s">
        <v>243</v>
      </c>
      <c r="C106" s="6" t="s">
        <v>53</v>
      </c>
      <c r="D106" s="7" t="str">
        <f>VLOOKUP(C106, Dept_Lookup!$A$2:$B$17, 2, FALSE)</f>
        <v>Mechanical</v>
      </c>
      <c r="E106" s="6">
        <v>59.0</v>
      </c>
      <c r="F106" s="6">
        <v>89.0</v>
      </c>
      <c r="G106" s="6">
        <v>72.0</v>
      </c>
      <c r="H106" s="8">
        <v>0.87</v>
      </c>
      <c r="I106" s="7">
        <v>45900.0</v>
      </c>
      <c r="J106" s="6" t="s">
        <v>17</v>
      </c>
      <c r="K106" s="8">
        <v>0.83</v>
      </c>
      <c r="L106" s="9">
        <f>E106*Scoring_Weights!$B$2 + F106*Scoring_Weights!$B$3 + G106*Scoring_Weights!$B$4</f>
        <v>76</v>
      </c>
      <c r="M106" s="6" t="str">
        <f>IF(AND(H106&gt;=(VLOOKUP(J106,Interview_Slots!$A$2:$D$5,4,FALSE)/100), L106&gt;=VLOOKUP(J106,Interview_Slots!$A$2:$D$5,3,FALSE)), "Eligible", "Not Eligible")</f>
        <v>Eligible</v>
      </c>
    </row>
    <row r="107">
      <c r="A107" s="6" t="s">
        <v>244</v>
      </c>
      <c r="B107" s="6" t="s">
        <v>245</v>
      </c>
      <c r="C107" s="6" t="s">
        <v>56</v>
      </c>
      <c r="D107" s="7" t="str">
        <f>VLOOKUP(C107, Dept_Lookup!$A$2:$B$17, 2, FALSE)</f>
        <v>Civil</v>
      </c>
      <c r="E107" s="6">
        <v>98.0</v>
      </c>
      <c r="F107" s="6">
        <v>88.0</v>
      </c>
      <c r="G107" s="6">
        <v>82.0</v>
      </c>
      <c r="H107" s="8">
        <v>0.86</v>
      </c>
      <c r="I107" s="7">
        <v>45889.0</v>
      </c>
      <c r="J107" s="6" t="s">
        <v>17</v>
      </c>
      <c r="K107" s="8">
        <v>0.8</v>
      </c>
      <c r="L107" s="9">
        <f>E107*Scoring_Weights!$B$2 + F107*Scoring_Weights!$B$3 + G107*Scoring_Weights!$B$4</f>
        <v>86.5</v>
      </c>
      <c r="M107" s="6" t="str">
        <f>IF(AND(H107&gt;=(VLOOKUP(J107,Interview_Slots!$A$2:$D$5,4,FALSE)/100), L107&gt;=VLOOKUP(J107,Interview_Slots!$A$2:$D$5,3,FALSE)), "Eligible", "Not Eligible")</f>
        <v>Eligible</v>
      </c>
    </row>
    <row r="108">
      <c r="A108" s="6" t="s">
        <v>246</v>
      </c>
      <c r="B108" s="6" t="s">
        <v>247</v>
      </c>
      <c r="C108" s="6" t="s">
        <v>59</v>
      </c>
      <c r="D108" s="7" t="str">
        <f>VLOOKUP(C108, Dept_Lookup!$A$2:$B$17, 2, FALSE)</f>
        <v>Civil</v>
      </c>
      <c r="E108" s="6">
        <v>75.0</v>
      </c>
      <c r="F108" s="6">
        <v>59.0</v>
      </c>
      <c r="G108" s="6">
        <v>74.0</v>
      </c>
      <c r="H108" s="8">
        <v>0.91</v>
      </c>
      <c r="I108" s="7">
        <v>45893.0</v>
      </c>
      <c r="J108" s="6" t="s">
        <v>21</v>
      </c>
      <c r="K108" s="8">
        <v>0.87</v>
      </c>
      <c r="L108" s="9">
        <f>E108*Scoring_Weights!$B$2 + F108*Scoring_Weights!$B$3 + G108*Scoring_Weights!$B$4</f>
        <v>68.9</v>
      </c>
      <c r="M108" s="6" t="str">
        <f>IF(AND(H108&gt;=(VLOOKUP(J108,Interview_Slots!$A$2:$D$5,4,FALSE)/100), L108&gt;=VLOOKUP(J108,Interview_Slots!$A$2:$D$5,3,FALSE)), "Eligible", "Not Eligible")</f>
        <v>Not Eligible</v>
      </c>
    </row>
    <row r="109">
      <c r="A109" s="6" t="s">
        <v>248</v>
      </c>
      <c r="B109" s="6" t="s">
        <v>249</v>
      </c>
      <c r="C109" s="6" t="s">
        <v>62</v>
      </c>
      <c r="D109" s="7" t="str">
        <f>VLOOKUP(C109, Dept_Lookup!$A$2:$B$17, 2, FALSE)</f>
        <v>Civil</v>
      </c>
      <c r="E109" s="6">
        <v>66.0</v>
      </c>
      <c r="F109" s="6">
        <v>82.0</v>
      </c>
      <c r="G109" s="6">
        <v>93.0</v>
      </c>
      <c r="H109" s="8">
        <v>0.76</v>
      </c>
      <c r="I109" s="7">
        <v>45877.0</v>
      </c>
      <c r="J109" s="6" t="s">
        <v>21</v>
      </c>
      <c r="K109" s="8">
        <v>0.81</v>
      </c>
      <c r="L109" s="9">
        <f>E109*Scoring_Weights!$B$2 + F109*Scoring_Weights!$B$3 + G109*Scoring_Weights!$B$4</f>
        <v>85.1</v>
      </c>
      <c r="M109" s="6" t="str">
        <f>IF(AND(H109&gt;=(VLOOKUP(J109,Interview_Slots!$A$2:$D$5,4,FALSE)/100), L109&gt;=VLOOKUP(J109,Interview_Slots!$A$2:$D$5,3,FALSE)), "Eligible", "Not Eligible")</f>
        <v>Not Eligible</v>
      </c>
    </row>
    <row r="110">
      <c r="A110" s="6" t="s">
        <v>250</v>
      </c>
      <c r="B110" s="6" t="s">
        <v>251</v>
      </c>
      <c r="C110" s="6" t="s">
        <v>65</v>
      </c>
      <c r="D110" s="7" t="str">
        <f>VLOOKUP(C110, Dept_Lookup!$A$2:$B$17, 2, FALSE)</f>
        <v>Civil</v>
      </c>
      <c r="E110" s="6">
        <v>64.0</v>
      </c>
      <c r="F110" s="6">
        <v>80.0</v>
      </c>
      <c r="G110" s="6">
        <v>96.0</v>
      </c>
      <c r="H110" s="8">
        <v>0.89</v>
      </c>
      <c r="I110" s="11">
        <v>45898.0</v>
      </c>
      <c r="J110" s="6" t="s">
        <v>25</v>
      </c>
      <c r="K110" s="8">
        <v>1.0</v>
      </c>
      <c r="L110" s="9">
        <f>E110*Scoring_Weights!$B$2 + F110*Scoring_Weights!$B$3 + G110*Scoring_Weights!$B$4</f>
        <v>85.6</v>
      </c>
      <c r="M110" s="6" t="str">
        <f>IF(AND(H110&gt;=(VLOOKUP(J110,Interview_Slots!$A$2:$D$5,4,FALSE)/100), L110&gt;=VLOOKUP(J110,Interview_Slots!$A$2:$D$5,3,FALSE)), "Eligible", "Not Eligible")</f>
        <v>Eligible</v>
      </c>
    </row>
    <row r="111">
      <c r="A111" s="6" t="s">
        <v>252</v>
      </c>
      <c r="B111" s="6" t="s">
        <v>253</v>
      </c>
      <c r="C111" s="6" t="s">
        <v>16</v>
      </c>
      <c r="D111" s="7" t="str">
        <f>VLOOKUP(C111, Dept_Lookup!$A$2:$B$17, 2, FALSE)</f>
        <v>Computer Science</v>
      </c>
      <c r="E111" s="6">
        <v>90.0</v>
      </c>
      <c r="F111" s="6">
        <v>63.0</v>
      </c>
      <c r="G111" s="6">
        <v>58.0</v>
      </c>
      <c r="H111" s="8">
        <v>0.94</v>
      </c>
      <c r="I111" s="7">
        <v>45913.0</v>
      </c>
      <c r="J111" s="6" t="s">
        <v>25</v>
      </c>
      <c r="K111" s="8">
        <v>0.95</v>
      </c>
      <c r="L111" s="9">
        <f>E111*Scoring_Weights!$B$2 + F111*Scoring_Weights!$B$3 + G111*Scoring_Weights!$B$4</f>
        <v>64.55</v>
      </c>
      <c r="M111" s="6" t="str">
        <f>IF(AND(H111&gt;=(VLOOKUP(J111,Interview_Slots!$A$2:$D$5,4,FALSE)/100), L111&gt;=VLOOKUP(J111,Interview_Slots!$A$2:$D$5,3,FALSE)), "Eligible", "Not Eligible")</f>
        <v>Not Eligible</v>
      </c>
    </row>
    <row r="112">
      <c r="A112" s="6" t="s">
        <v>254</v>
      </c>
      <c r="B112" s="6" t="s">
        <v>255</v>
      </c>
      <c r="C112" s="6" t="s">
        <v>20</v>
      </c>
      <c r="D112" s="7" t="str">
        <f>VLOOKUP(C112, Dept_Lookup!$A$2:$B$17, 2, FALSE)</f>
        <v>Computer Science</v>
      </c>
      <c r="E112" s="6">
        <v>81.0</v>
      </c>
      <c r="F112" s="6">
        <v>55.0</v>
      </c>
      <c r="G112" s="6">
        <v>90.0</v>
      </c>
      <c r="H112" s="8">
        <v>0.79</v>
      </c>
      <c r="I112" s="7">
        <v>45877.0</v>
      </c>
      <c r="J112" s="6" t="s">
        <v>25</v>
      </c>
      <c r="K112" s="8">
        <v>0.98</v>
      </c>
      <c r="L112" s="9">
        <f>E112*Scoring_Weights!$B$2 + F112*Scoring_Weights!$B$3 + G112*Scoring_Weights!$B$4</f>
        <v>76.4</v>
      </c>
      <c r="M112" s="6" t="str">
        <f>IF(AND(H112&gt;=(VLOOKUP(J112,Interview_Slots!$A$2:$D$5,4,FALSE)/100), L112&gt;=VLOOKUP(J112,Interview_Slots!$A$2:$D$5,3,FALSE)), "Eligible", "Not Eligible")</f>
        <v>Not Eligible</v>
      </c>
    </row>
    <row r="113">
      <c r="A113" s="6" t="s">
        <v>256</v>
      </c>
      <c r="B113" s="6" t="s">
        <v>257</v>
      </c>
      <c r="C113" s="6" t="s">
        <v>24</v>
      </c>
      <c r="D113" s="7" t="str">
        <f>VLOOKUP(C113, Dept_Lookup!$A$2:$B$17, 2, FALSE)</f>
        <v>Computer Science</v>
      </c>
      <c r="E113" s="6">
        <v>98.0</v>
      </c>
      <c r="F113" s="6">
        <v>94.0</v>
      </c>
      <c r="G113" s="6">
        <v>66.0</v>
      </c>
      <c r="H113" s="8">
        <v>0.79</v>
      </c>
      <c r="I113" s="11">
        <v>45898.0</v>
      </c>
      <c r="J113" s="6" t="s">
        <v>17</v>
      </c>
      <c r="K113" s="8">
        <v>0.88</v>
      </c>
      <c r="L113" s="9">
        <f>E113*Scoring_Weights!$B$2 + F113*Scoring_Weights!$B$3 + G113*Scoring_Weights!$B$4</f>
        <v>80.6</v>
      </c>
      <c r="M113" s="6" t="str">
        <f>IF(AND(H113&gt;=(VLOOKUP(J113,Interview_Slots!$A$2:$D$5,4,FALSE)/100), L113&gt;=VLOOKUP(J113,Interview_Slots!$A$2:$D$5,3,FALSE)), "Eligible", "Not Eligible")</f>
        <v>Eligible</v>
      </c>
    </row>
    <row r="114">
      <c r="A114" s="6" t="s">
        <v>258</v>
      </c>
      <c r="B114" s="6" t="s">
        <v>259</v>
      </c>
      <c r="C114" s="6" t="s">
        <v>28</v>
      </c>
      <c r="D114" s="7" t="str">
        <f>VLOOKUP(C114, Dept_Lookup!$A$2:$B$17, 2, FALSE)</f>
        <v>Computer Science</v>
      </c>
      <c r="E114" s="6">
        <v>95.0</v>
      </c>
      <c r="F114" s="6">
        <v>65.0</v>
      </c>
      <c r="G114" s="6">
        <v>60.0</v>
      </c>
      <c r="H114" s="8">
        <v>0.79</v>
      </c>
      <c r="I114" s="7">
        <v>45866.0</v>
      </c>
      <c r="J114" s="6" t="s">
        <v>32</v>
      </c>
      <c r="K114" s="8">
        <v>1.0</v>
      </c>
      <c r="L114" s="9">
        <f>E114*Scoring_Weights!$B$2 + F114*Scoring_Weights!$B$3 + G114*Scoring_Weights!$B$4</f>
        <v>67</v>
      </c>
      <c r="M114" s="6" t="str">
        <f>IF(AND(H114&gt;=(VLOOKUP(J114,Interview_Slots!$A$2:$D$5,4,FALSE)/100), L114&gt;=VLOOKUP(J114,Interview_Slots!$A$2:$D$5,3,FALSE)), "Eligible", "Not Eligible")</f>
        <v>Eligible</v>
      </c>
    </row>
    <row r="115">
      <c r="A115" s="6" t="s">
        <v>260</v>
      </c>
      <c r="B115" s="6" t="s">
        <v>261</v>
      </c>
      <c r="C115" s="6" t="s">
        <v>31</v>
      </c>
      <c r="D115" s="7" t="str">
        <f>VLOOKUP(C115, Dept_Lookup!$A$2:$B$17, 2, FALSE)</f>
        <v>Electronics</v>
      </c>
      <c r="E115" s="6">
        <v>56.0</v>
      </c>
      <c r="F115" s="6">
        <v>77.0</v>
      </c>
      <c r="G115" s="6">
        <v>67.0</v>
      </c>
      <c r="H115" s="8">
        <v>0.93</v>
      </c>
      <c r="I115" s="7">
        <v>45870.0</v>
      </c>
      <c r="J115" s="6" t="s">
        <v>17</v>
      </c>
      <c r="K115" s="8">
        <v>0.83</v>
      </c>
      <c r="L115" s="9">
        <f>E115*Scoring_Weights!$B$2 + F115*Scoring_Weights!$B$3 + G115*Scoring_Weights!$B$4</f>
        <v>68.85</v>
      </c>
      <c r="M115" s="6" t="str">
        <f>IF(AND(H115&gt;=(VLOOKUP(J115,Interview_Slots!$A$2:$D$5,4,FALSE)/100), L115&gt;=VLOOKUP(J115,Interview_Slots!$A$2:$D$5,3,FALSE)), "Eligible", "Not Eligible")</f>
        <v>Eligible</v>
      </c>
    </row>
    <row r="116">
      <c r="A116" s="6" t="s">
        <v>262</v>
      </c>
      <c r="B116" s="6" t="s">
        <v>263</v>
      </c>
      <c r="C116" s="6" t="s">
        <v>35</v>
      </c>
      <c r="D116" s="7" t="str">
        <f>VLOOKUP(C116, Dept_Lookup!$A$2:$B$17, 2, FALSE)</f>
        <v>Electronics</v>
      </c>
      <c r="E116" s="6">
        <v>69.0</v>
      </c>
      <c r="F116" s="6">
        <v>65.0</v>
      </c>
      <c r="G116" s="6">
        <v>80.0</v>
      </c>
      <c r="H116" s="8">
        <v>0.81</v>
      </c>
      <c r="I116" s="7">
        <v>45913.0</v>
      </c>
      <c r="J116" s="6" t="s">
        <v>21</v>
      </c>
      <c r="K116" s="8">
        <v>0.82</v>
      </c>
      <c r="L116" s="9">
        <f>E116*Scoring_Weights!$B$2 + F116*Scoring_Weights!$B$3 + G116*Scoring_Weights!$B$4</f>
        <v>73.1</v>
      </c>
      <c r="M116" s="6" t="str">
        <f>IF(AND(H116&gt;=(VLOOKUP(J116,Interview_Slots!$A$2:$D$5,4,FALSE)/100), L116&gt;=VLOOKUP(J116,Interview_Slots!$A$2:$D$5,3,FALSE)), "Eligible", "Not Eligible")</f>
        <v>Eligible</v>
      </c>
    </row>
    <row r="117">
      <c r="A117" s="6" t="s">
        <v>264</v>
      </c>
      <c r="B117" s="6" t="s">
        <v>265</v>
      </c>
      <c r="C117" s="6" t="s">
        <v>38</v>
      </c>
      <c r="D117" s="7" t="str">
        <f>VLOOKUP(C117, Dept_Lookup!$A$2:$B$17, 2, FALSE)</f>
        <v>Electronics</v>
      </c>
      <c r="E117" s="6">
        <v>74.0</v>
      </c>
      <c r="F117" s="6">
        <v>83.0</v>
      </c>
      <c r="G117" s="6">
        <v>68.0</v>
      </c>
      <c r="H117" s="8">
        <v>0.84</v>
      </c>
      <c r="I117" s="7">
        <v>45877.0</v>
      </c>
      <c r="J117" s="6" t="s">
        <v>32</v>
      </c>
      <c r="K117" s="8">
        <v>0.86</v>
      </c>
      <c r="L117" s="9">
        <f>E117*Scoring_Weights!$B$2 + F117*Scoring_Weights!$B$3 + G117*Scoring_Weights!$B$4</f>
        <v>74.15</v>
      </c>
      <c r="M117" s="6" t="str">
        <f>IF(AND(H117&gt;=(VLOOKUP(J117,Interview_Slots!$A$2:$D$5,4,FALSE)/100), L117&gt;=VLOOKUP(J117,Interview_Slots!$A$2:$D$5,3,FALSE)), "Eligible", "Not Eligible")</f>
        <v>Eligible</v>
      </c>
    </row>
    <row r="118">
      <c r="A118" s="6" t="s">
        <v>266</v>
      </c>
      <c r="B118" s="6" t="s">
        <v>267</v>
      </c>
      <c r="C118" s="6" t="s">
        <v>41</v>
      </c>
      <c r="D118" s="7" t="str">
        <f>VLOOKUP(C118, Dept_Lookup!$A$2:$B$17, 2, FALSE)</f>
        <v>Electronics</v>
      </c>
      <c r="E118" s="6">
        <v>58.0</v>
      </c>
      <c r="F118" s="6">
        <v>68.0</v>
      </c>
      <c r="G118" s="6">
        <v>85.0</v>
      </c>
      <c r="H118" s="8">
        <v>0.82</v>
      </c>
      <c r="I118" s="7">
        <v>45866.0</v>
      </c>
      <c r="J118" s="6" t="s">
        <v>32</v>
      </c>
      <c r="K118" s="8">
        <v>0.78</v>
      </c>
      <c r="L118" s="9">
        <f>E118*Scoring_Weights!$B$2 + F118*Scoring_Weights!$B$3 + G118*Scoring_Weights!$B$4</f>
        <v>75</v>
      </c>
      <c r="M118" s="6" t="str">
        <f>IF(AND(H118&gt;=(VLOOKUP(J118,Interview_Slots!$A$2:$D$5,4,FALSE)/100), L118&gt;=VLOOKUP(J118,Interview_Slots!$A$2:$D$5,3,FALSE)), "Eligible", "Not Eligible")</f>
        <v>Eligible</v>
      </c>
    </row>
    <row r="119">
      <c r="A119" s="6" t="s">
        <v>268</v>
      </c>
      <c r="B119" s="6" t="s">
        <v>269</v>
      </c>
      <c r="C119" s="6" t="s">
        <v>44</v>
      </c>
      <c r="D119" s="7" t="str">
        <f>VLOOKUP(C119, Dept_Lookup!$A$2:$B$17, 2, FALSE)</f>
        <v>Mechanical</v>
      </c>
      <c r="E119" s="6">
        <v>98.0</v>
      </c>
      <c r="F119" s="6">
        <v>56.0</v>
      </c>
      <c r="G119" s="6">
        <v>95.0</v>
      </c>
      <c r="H119" s="8">
        <v>0.87</v>
      </c>
      <c r="I119" s="7">
        <v>45880.0</v>
      </c>
      <c r="J119" s="6" t="s">
        <v>17</v>
      </c>
      <c r="K119" s="8">
        <v>1.0</v>
      </c>
      <c r="L119" s="9">
        <f>E119*Scoring_Weights!$B$2 + F119*Scoring_Weights!$B$3 + G119*Scoring_Weights!$B$4</f>
        <v>81.8</v>
      </c>
      <c r="M119" s="6" t="str">
        <f>IF(AND(H119&gt;=(VLOOKUP(J119,Interview_Slots!$A$2:$D$5,4,FALSE)/100), L119&gt;=VLOOKUP(J119,Interview_Slots!$A$2:$D$5,3,FALSE)), "Eligible", "Not Eligible")</f>
        <v>Eligible</v>
      </c>
    </row>
    <row r="120">
      <c r="A120" s="6" t="s">
        <v>270</v>
      </c>
      <c r="B120" s="6" t="s">
        <v>271</v>
      </c>
      <c r="C120" s="6" t="s">
        <v>47</v>
      </c>
      <c r="D120" s="7" t="str">
        <f>VLOOKUP(C120, Dept_Lookup!$A$2:$B$17, 2, FALSE)</f>
        <v>Mechanical</v>
      </c>
      <c r="E120" s="6">
        <v>97.0</v>
      </c>
      <c r="F120" s="6">
        <v>86.0</v>
      </c>
      <c r="G120" s="6">
        <v>60.0</v>
      </c>
      <c r="H120" s="8">
        <v>0.84</v>
      </c>
      <c r="I120" s="7">
        <v>45882.0</v>
      </c>
      <c r="J120" s="6" t="s">
        <v>21</v>
      </c>
      <c r="K120" s="8">
        <v>0.78</v>
      </c>
      <c r="L120" s="9">
        <f>E120*Scoring_Weights!$B$2 + F120*Scoring_Weights!$B$3 + G120*Scoring_Weights!$B$4</f>
        <v>74.65</v>
      </c>
      <c r="M120" s="6" t="str">
        <f>IF(AND(H120&gt;=(VLOOKUP(J120,Interview_Slots!$A$2:$D$5,4,FALSE)/100), L120&gt;=VLOOKUP(J120,Interview_Slots!$A$2:$D$5,3,FALSE)), "Eligible", "Not Eligible")</f>
        <v>Eligible</v>
      </c>
    </row>
    <row r="121">
      <c r="A121" s="6" t="s">
        <v>272</v>
      </c>
      <c r="B121" s="6" t="s">
        <v>273</v>
      </c>
      <c r="C121" s="6" t="s">
        <v>50</v>
      </c>
      <c r="D121" s="7" t="str">
        <f>VLOOKUP(C121, Dept_Lookup!$A$2:$B$17, 2, FALSE)</f>
        <v>Mechanical</v>
      </c>
      <c r="E121" s="6">
        <v>82.0</v>
      </c>
      <c r="F121" s="6">
        <v>99.0</v>
      </c>
      <c r="G121" s="6">
        <v>75.0</v>
      </c>
      <c r="H121" s="8">
        <v>0.79</v>
      </c>
      <c r="I121" s="7">
        <v>45903.0</v>
      </c>
      <c r="J121" s="6" t="s">
        <v>21</v>
      </c>
      <c r="K121" s="8">
        <v>0.89</v>
      </c>
      <c r="L121" s="9">
        <f>E121*Scoring_Weights!$B$2 + F121*Scoring_Weights!$B$3 + G121*Scoring_Weights!$B$4</f>
        <v>84.45</v>
      </c>
      <c r="M121" s="6" t="str">
        <f>IF(AND(H121&gt;=(VLOOKUP(J121,Interview_Slots!$A$2:$D$5,4,FALSE)/100), L121&gt;=VLOOKUP(J121,Interview_Slots!$A$2:$D$5,3,FALSE)), "Eligible", "Not Eligible")</f>
        <v>Not Eligible</v>
      </c>
    </row>
    <row r="122">
      <c r="A122" s="6" t="s">
        <v>274</v>
      </c>
      <c r="B122" s="6" t="s">
        <v>275</v>
      </c>
      <c r="C122" s="6" t="s">
        <v>53</v>
      </c>
      <c r="D122" s="7" t="str">
        <f>VLOOKUP(C122, Dept_Lookup!$A$2:$B$17, 2, FALSE)</f>
        <v>Mechanical</v>
      </c>
      <c r="E122" s="6">
        <v>67.0</v>
      </c>
      <c r="F122" s="6">
        <v>94.0</v>
      </c>
      <c r="G122" s="6">
        <v>66.0</v>
      </c>
      <c r="H122" s="8">
        <v>0.93</v>
      </c>
      <c r="I122" s="7">
        <v>45900.0</v>
      </c>
      <c r="J122" s="6" t="s">
        <v>21</v>
      </c>
      <c r="K122" s="8">
        <v>0.93</v>
      </c>
      <c r="L122" s="9">
        <f>E122*Scoring_Weights!$B$2 + F122*Scoring_Weights!$B$3 + G122*Scoring_Weights!$B$4</f>
        <v>75.95</v>
      </c>
      <c r="M122" s="6" t="str">
        <f>IF(AND(H122&gt;=(VLOOKUP(J122,Interview_Slots!$A$2:$D$5,4,FALSE)/100), L122&gt;=VLOOKUP(J122,Interview_Slots!$A$2:$D$5,3,FALSE)), "Eligible", "Not Eligible")</f>
        <v>Eligible</v>
      </c>
    </row>
    <row r="123">
      <c r="A123" s="6" t="s">
        <v>276</v>
      </c>
      <c r="B123" s="6" t="s">
        <v>277</v>
      </c>
      <c r="C123" s="6" t="s">
        <v>56</v>
      </c>
      <c r="D123" s="7" t="str">
        <f>VLOOKUP(C123, Dept_Lookup!$A$2:$B$17, 2, FALSE)</f>
        <v>Civil</v>
      </c>
      <c r="E123" s="6">
        <v>82.0</v>
      </c>
      <c r="F123" s="6">
        <v>95.0</v>
      </c>
      <c r="G123" s="6">
        <v>78.0</v>
      </c>
      <c r="H123" s="8">
        <v>0.86</v>
      </c>
      <c r="I123" s="7">
        <v>45854.0</v>
      </c>
      <c r="J123" s="6" t="s">
        <v>25</v>
      </c>
      <c r="K123" s="8">
        <v>0.84</v>
      </c>
      <c r="L123" s="9">
        <f>E123*Scoring_Weights!$B$2 + F123*Scoring_Weights!$B$3 + G123*Scoring_Weights!$B$4</f>
        <v>84.55</v>
      </c>
      <c r="M123" s="6" t="str">
        <f>IF(AND(H123&gt;=(VLOOKUP(J123,Interview_Slots!$A$2:$D$5,4,FALSE)/100), L123&gt;=VLOOKUP(J123,Interview_Slots!$A$2:$D$5,3,FALSE)), "Eligible", "Not Eligible")</f>
        <v>Eligible</v>
      </c>
    </row>
    <row r="124">
      <c r="A124" s="6" t="s">
        <v>278</v>
      </c>
      <c r="B124" s="6" t="s">
        <v>279</v>
      </c>
      <c r="C124" s="6" t="s">
        <v>59</v>
      </c>
      <c r="D124" s="7" t="str">
        <f>VLOOKUP(C124, Dept_Lookup!$A$2:$B$17, 2, FALSE)</f>
        <v>Civil</v>
      </c>
      <c r="E124" s="6">
        <v>98.0</v>
      </c>
      <c r="F124" s="6">
        <v>66.0</v>
      </c>
      <c r="G124" s="6">
        <v>95.0</v>
      </c>
      <c r="H124" s="8">
        <v>0.91</v>
      </c>
      <c r="I124" s="7">
        <v>45866.0</v>
      </c>
      <c r="J124" s="6" t="s">
        <v>32</v>
      </c>
      <c r="K124" s="8">
        <v>1.0</v>
      </c>
      <c r="L124" s="9">
        <f>E124*Scoring_Weights!$B$2 + F124*Scoring_Weights!$B$3 + G124*Scoring_Weights!$B$4</f>
        <v>85.3</v>
      </c>
      <c r="M124" s="6" t="str">
        <f>IF(AND(H124&gt;=(VLOOKUP(J124,Interview_Slots!$A$2:$D$5,4,FALSE)/100), L124&gt;=VLOOKUP(J124,Interview_Slots!$A$2:$D$5,3,FALSE)), "Eligible", "Not Eligible")</f>
        <v>Eligible</v>
      </c>
    </row>
    <row r="125">
      <c r="A125" s="6" t="s">
        <v>280</v>
      </c>
      <c r="B125" s="6" t="s">
        <v>281</v>
      </c>
      <c r="C125" s="6" t="s">
        <v>62</v>
      </c>
      <c r="D125" s="7" t="str">
        <f>VLOOKUP(C125, Dept_Lookup!$A$2:$B$17, 2, FALSE)</f>
        <v>Civil</v>
      </c>
      <c r="E125" s="6">
        <v>83.0</v>
      </c>
      <c r="F125" s="6">
        <v>96.0</v>
      </c>
      <c r="G125" s="6">
        <v>93.0</v>
      </c>
      <c r="H125" s="8">
        <v>0.87</v>
      </c>
      <c r="I125" s="7">
        <v>45869.0</v>
      </c>
      <c r="J125" s="6" t="s">
        <v>25</v>
      </c>
      <c r="K125" s="8">
        <v>0.98</v>
      </c>
      <c r="L125" s="9">
        <f>E125*Scoring_Weights!$B$2 + F125*Scoring_Weights!$B$3 + G125*Scoring_Weights!$B$4</f>
        <v>92.55</v>
      </c>
      <c r="M125" s="6" t="str">
        <f>IF(AND(H125&gt;=(VLOOKUP(J125,Interview_Slots!$A$2:$D$5,4,FALSE)/100), L125&gt;=VLOOKUP(J125,Interview_Slots!$A$2:$D$5,3,FALSE)), "Eligible", "Not Eligible")</f>
        <v>Eligible</v>
      </c>
    </row>
    <row r="126">
      <c r="A126" s="6" t="s">
        <v>282</v>
      </c>
      <c r="B126" s="6" t="s">
        <v>283</v>
      </c>
      <c r="C126" s="6" t="s">
        <v>16</v>
      </c>
      <c r="D126" s="7" t="str">
        <f>VLOOKUP(C126, Dept_Lookup!$A$2:$B$17, 2, FALSE)</f>
        <v>Computer Science</v>
      </c>
      <c r="E126" s="6">
        <v>74.0</v>
      </c>
      <c r="F126" s="6">
        <v>96.0</v>
      </c>
      <c r="G126" s="6">
        <v>86.0</v>
      </c>
      <c r="H126" s="8">
        <v>0.75</v>
      </c>
      <c r="I126" s="7">
        <v>45913.0</v>
      </c>
      <c r="J126" s="6" t="s">
        <v>17</v>
      </c>
      <c r="K126" s="8">
        <v>0.93</v>
      </c>
      <c r="L126" s="9">
        <f>E126*Scoring_Weights!$B$2 + F126*Scoring_Weights!$B$3 + G126*Scoring_Weights!$B$4</f>
        <v>87.7</v>
      </c>
      <c r="M126" s="6" t="str">
        <f>IF(AND(H126&gt;=(VLOOKUP(J126,Interview_Slots!$A$2:$D$5,4,FALSE)/100), L126&gt;=VLOOKUP(J126,Interview_Slots!$A$2:$D$5,3,FALSE)), "Eligible", "Not Eligible")</f>
        <v>Eligible</v>
      </c>
    </row>
    <row r="127">
      <c r="A127" s="6" t="s">
        <v>284</v>
      </c>
      <c r="B127" s="6" t="s">
        <v>285</v>
      </c>
      <c r="C127" s="6" t="s">
        <v>20</v>
      </c>
      <c r="D127" s="7" t="str">
        <f>VLOOKUP(C127, Dept_Lookup!$A$2:$B$17, 2, FALSE)</f>
        <v>Computer Science</v>
      </c>
      <c r="E127" s="6">
        <v>97.0</v>
      </c>
      <c r="F127" s="6">
        <v>71.0</v>
      </c>
      <c r="G127" s="6">
        <v>63.0</v>
      </c>
      <c r="H127" s="8">
        <v>0.81</v>
      </c>
      <c r="I127" s="7">
        <v>45893.0</v>
      </c>
      <c r="J127" s="6" t="s">
        <v>32</v>
      </c>
      <c r="K127" s="8">
        <v>0.75</v>
      </c>
      <c r="L127" s="9">
        <f>E127*Scoring_Weights!$B$2 + F127*Scoring_Weights!$B$3 + G127*Scoring_Weights!$B$4</f>
        <v>70.9</v>
      </c>
      <c r="M127" s="6" t="str">
        <f>IF(AND(H127&gt;=(VLOOKUP(J127,Interview_Slots!$A$2:$D$5,4,FALSE)/100), L127&gt;=VLOOKUP(J127,Interview_Slots!$A$2:$D$5,3,FALSE)), "Eligible", "Not Eligible")</f>
        <v>Eligible</v>
      </c>
    </row>
    <row r="128">
      <c r="A128" s="6" t="s">
        <v>286</v>
      </c>
      <c r="B128" s="6" t="s">
        <v>287</v>
      </c>
      <c r="C128" s="6" t="s">
        <v>24</v>
      </c>
      <c r="D128" s="7" t="str">
        <f>VLOOKUP(C128, Dept_Lookup!$A$2:$B$17, 2, FALSE)</f>
        <v>Computer Science</v>
      </c>
      <c r="E128" s="6">
        <v>70.0</v>
      </c>
      <c r="F128" s="6">
        <v>85.0</v>
      </c>
      <c r="G128" s="6">
        <v>69.0</v>
      </c>
      <c r="H128" s="8">
        <v>0.89</v>
      </c>
      <c r="I128" s="7">
        <v>45842.0</v>
      </c>
      <c r="J128" s="6" t="s">
        <v>17</v>
      </c>
      <c r="K128" s="8">
        <v>0.87</v>
      </c>
      <c r="L128" s="9">
        <f>E128*Scoring_Weights!$B$2 + F128*Scoring_Weights!$B$3 + G128*Scoring_Weights!$B$4</f>
        <v>74.75</v>
      </c>
      <c r="M128" s="6" t="str">
        <f>IF(AND(H128&gt;=(VLOOKUP(J128,Interview_Slots!$A$2:$D$5,4,FALSE)/100), L128&gt;=VLOOKUP(J128,Interview_Slots!$A$2:$D$5,3,FALSE)), "Eligible", "Not Eligible")</f>
        <v>Eligible</v>
      </c>
    </row>
    <row r="129">
      <c r="A129" s="6" t="s">
        <v>288</v>
      </c>
      <c r="B129" s="6" t="s">
        <v>289</v>
      </c>
      <c r="C129" s="6" t="s">
        <v>28</v>
      </c>
      <c r="D129" s="7" t="str">
        <f>VLOOKUP(C129, Dept_Lookup!$A$2:$B$17, 2, FALSE)</f>
        <v>Computer Science</v>
      </c>
      <c r="E129" s="6">
        <v>58.0</v>
      </c>
      <c r="F129" s="6">
        <v>97.0</v>
      </c>
      <c r="G129" s="6">
        <v>68.0</v>
      </c>
      <c r="H129" s="8">
        <v>0.77</v>
      </c>
      <c r="I129" s="7">
        <v>45865.0</v>
      </c>
      <c r="J129" s="6" t="s">
        <v>21</v>
      </c>
      <c r="K129" s="8">
        <v>0.76</v>
      </c>
      <c r="L129" s="9">
        <f>E129*Scoring_Weights!$B$2 + F129*Scoring_Weights!$B$3 + G129*Scoring_Weights!$B$4</f>
        <v>76.65</v>
      </c>
      <c r="M129" s="6" t="str">
        <f>IF(AND(H129&gt;=(VLOOKUP(J129,Interview_Slots!$A$2:$D$5,4,FALSE)/100), L129&gt;=VLOOKUP(J129,Interview_Slots!$A$2:$D$5,3,FALSE)), "Eligible", "Not Eligible")</f>
        <v>Not Eligible</v>
      </c>
    </row>
    <row r="130">
      <c r="A130" s="6" t="s">
        <v>290</v>
      </c>
      <c r="B130" s="6" t="s">
        <v>291</v>
      </c>
      <c r="C130" s="6" t="s">
        <v>31</v>
      </c>
      <c r="D130" s="7" t="str">
        <f>VLOOKUP(C130, Dept_Lookup!$A$2:$B$17, 2, FALSE)</f>
        <v>Electronics</v>
      </c>
      <c r="E130" s="6">
        <v>95.0</v>
      </c>
      <c r="F130" s="6">
        <v>68.0</v>
      </c>
      <c r="G130" s="6">
        <v>79.0</v>
      </c>
      <c r="H130" s="8">
        <v>0.91</v>
      </c>
      <c r="I130" s="7">
        <v>45880.0</v>
      </c>
      <c r="J130" s="6" t="s">
        <v>32</v>
      </c>
      <c r="K130" s="8">
        <v>0.96</v>
      </c>
      <c r="L130" s="9">
        <f>E130*Scoring_Weights!$B$2 + F130*Scoring_Weights!$B$3 + G130*Scoring_Weights!$B$4</f>
        <v>77.55</v>
      </c>
      <c r="M130" s="6" t="str">
        <f>IF(AND(H130&gt;=(VLOOKUP(J130,Interview_Slots!$A$2:$D$5,4,FALSE)/100), L130&gt;=VLOOKUP(J130,Interview_Slots!$A$2:$D$5,3,FALSE)), "Eligible", "Not Eligible")</f>
        <v>Eligible</v>
      </c>
    </row>
    <row r="131">
      <c r="A131" s="6" t="s">
        <v>292</v>
      </c>
      <c r="B131" s="6" t="s">
        <v>293</v>
      </c>
      <c r="C131" s="6" t="s">
        <v>35</v>
      </c>
      <c r="D131" s="7" t="str">
        <f>VLOOKUP(C131, Dept_Lookup!$A$2:$B$17, 2, FALSE)</f>
        <v>Electronics</v>
      </c>
      <c r="E131" s="6">
        <v>87.0</v>
      </c>
      <c r="F131" s="6">
        <v>94.0</v>
      </c>
      <c r="G131" s="6">
        <v>92.0</v>
      </c>
      <c r="H131" s="8">
        <v>0.91</v>
      </c>
      <c r="I131" s="7">
        <v>45904.0</v>
      </c>
      <c r="J131" s="6" t="s">
        <v>25</v>
      </c>
      <c r="K131" s="8">
        <v>0.83</v>
      </c>
      <c r="L131" s="9">
        <f>E131*Scoring_Weights!$B$2 + F131*Scoring_Weights!$B$3 + G131*Scoring_Weights!$B$4</f>
        <v>91.95</v>
      </c>
      <c r="M131" s="6" t="str">
        <f>IF(AND(H131&gt;=(VLOOKUP(J131,Interview_Slots!$A$2:$D$5,4,FALSE)/100), L131&gt;=VLOOKUP(J131,Interview_Slots!$A$2:$D$5,3,FALSE)), "Eligible", "Not Eligible")</f>
        <v>Eligible</v>
      </c>
    </row>
    <row r="132">
      <c r="A132" s="6" t="s">
        <v>294</v>
      </c>
      <c r="B132" s="6" t="s">
        <v>295</v>
      </c>
      <c r="C132" s="6" t="s">
        <v>38</v>
      </c>
      <c r="D132" s="7" t="str">
        <f>VLOOKUP(C132, Dept_Lookup!$A$2:$B$17, 2, FALSE)</f>
        <v>Electronics</v>
      </c>
      <c r="E132" s="6">
        <v>75.0</v>
      </c>
      <c r="F132" s="6">
        <v>67.0</v>
      </c>
      <c r="G132" s="6">
        <v>85.0</v>
      </c>
      <c r="H132" s="8">
        <v>0.84</v>
      </c>
      <c r="I132" s="7">
        <v>45870.0</v>
      </c>
      <c r="J132" s="6" t="s">
        <v>17</v>
      </c>
      <c r="K132" s="8">
        <v>0.91</v>
      </c>
      <c r="L132" s="9">
        <f>E132*Scoring_Weights!$B$2 + F132*Scoring_Weights!$B$3 + G132*Scoring_Weights!$B$4</f>
        <v>77.2</v>
      </c>
      <c r="M132" s="6" t="str">
        <f>IF(AND(H132&gt;=(VLOOKUP(J132,Interview_Slots!$A$2:$D$5,4,FALSE)/100), L132&gt;=VLOOKUP(J132,Interview_Slots!$A$2:$D$5,3,FALSE)), "Eligible", "Not Eligible")</f>
        <v>Eligible</v>
      </c>
    </row>
    <row r="133">
      <c r="A133" s="6" t="s">
        <v>296</v>
      </c>
      <c r="B133" s="6" t="s">
        <v>297</v>
      </c>
      <c r="C133" s="6" t="s">
        <v>41</v>
      </c>
      <c r="D133" s="7" t="str">
        <f>VLOOKUP(C133, Dept_Lookup!$A$2:$B$17, 2, FALSE)</f>
        <v>Electronics</v>
      </c>
      <c r="E133" s="6">
        <v>98.0</v>
      </c>
      <c r="F133" s="6">
        <v>64.0</v>
      </c>
      <c r="G133" s="6">
        <v>71.0</v>
      </c>
      <c r="H133" s="8">
        <v>0.95</v>
      </c>
      <c r="I133" s="7">
        <v>45887.0</v>
      </c>
      <c r="J133" s="6" t="s">
        <v>21</v>
      </c>
      <c r="K133" s="8">
        <v>1.0</v>
      </c>
      <c r="L133" s="9">
        <f>E133*Scoring_Weights!$B$2 + F133*Scoring_Weights!$B$3 + G133*Scoring_Weights!$B$4</f>
        <v>72.6</v>
      </c>
      <c r="M133" s="6" t="str">
        <f>IF(AND(H133&gt;=(VLOOKUP(J133,Interview_Slots!$A$2:$D$5,4,FALSE)/100), L133&gt;=VLOOKUP(J133,Interview_Slots!$A$2:$D$5,3,FALSE)), "Eligible", "Not Eligible")</f>
        <v>Eligible</v>
      </c>
    </row>
    <row r="134">
      <c r="A134" s="6" t="s">
        <v>298</v>
      </c>
      <c r="B134" s="6" t="s">
        <v>299</v>
      </c>
      <c r="C134" s="6" t="s">
        <v>44</v>
      </c>
      <c r="D134" s="7" t="str">
        <f>VLOOKUP(C134, Dept_Lookup!$A$2:$B$17, 2, FALSE)</f>
        <v>Mechanical</v>
      </c>
      <c r="E134" s="6">
        <v>91.0</v>
      </c>
      <c r="F134" s="6">
        <v>58.0</v>
      </c>
      <c r="G134" s="6">
        <v>88.0</v>
      </c>
      <c r="H134" s="8">
        <v>0.81</v>
      </c>
      <c r="I134" s="7">
        <v>45880.0</v>
      </c>
      <c r="J134" s="6" t="s">
        <v>21</v>
      </c>
      <c r="K134" s="8">
        <v>0.77</v>
      </c>
      <c r="L134" s="9">
        <f>E134*Scoring_Weights!$B$2 + F134*Scoring_Weights!$B$3 + G134*Scoring_Weights!$B$4</f>
        <v>77.95</v>
      </c>
      <c r="M134" s="6" t="str">
        <f>IF(AND(H134&gt;=(VLOOKUP(J134,Interview_Slots!$A$2:$D$5,4,FALSE)/100), L134&gt;=VLOOKUP(J134,Interview_Slots!$A$2:$D$5,3,FALSE)), "Eligible", "Not Eligible")</f>
        <v>Eligible</v>
      </c>
    </row>
    <row r="135">
      <c r="A135" s="6" t="s">
        <v>300</v>
      </c>
      <c r="B135" s="6" t="s">
        <v>301</v>
      </c>
      <c r="C135" s="6" t="s">
        <v>47</v>
      </c>
      <c r="D135" s="7" t="str">
        <f>VLOOKUP(C135, Dept_Lookup!$A$2:$B$17, 2, FALSE)</f>
        <v>Mechanical</v>
      </c>
      <c r="E135" s="6">
        <v>87.0</v>
      </c>
      <c r="F135" s="6">
        <v>92.0</v>
      </c>
      <c r="G135" s="6">
        <v>98.0</v>
      </c>
      <c r="H135" s="8">
        <v>0.82</v>
      </c>
      <c r="I135" s="7">
        <v>45902.0</v>
      </c>
      <c r="J135" s="6" t="s">
        <v>21</v>
      </c>
      <c r="K135" s="8">
        <v>0.77</v>
      </c>
      <c r="L135" s="9">
        <f>E135*Scoring_Weights!$B$2 + F135*Scoring_Weights!$B$3 + G135*Scoring_Weights!$B$4</f>
        <v>94.25</v>
      </c>
      <c r="M135" s="6" t="str">
        <f>IF(AND(H135&gt;=(VLOOKUP(J135,Interview_Slots!$A$2:$D$5,4,FALSE)/100), L135&gt;=VLOOKUP(J135,Interview_Slots!$A$2:$D$5,3,FALSE)), "Eligible", "Not Eligible")</f>
        <v>Eligible</v>
      </c>
    </row>
    <row r="136">
      <c r="A136" s="6" t="s">
        <v>302</v>
      </c>
      <c r="B136" s="6" t="s">
        <v>303</v>
      </c>
      <c r="C136" s="6" t="s">
        <v>50</v>
      </c>
      <c r="D136" s="7" t="str">
        <f>VLOOKUP(C136, Dept_Lookup!$A$2:$B$17, 2, FALSE)</f>
        <v>Mechanical</v>
      </c>
      <c r="E136" s="6">
        <v>78.0</v>
      </c>
      <c r="F136" s="6">
        <v>62.0</v>
      </c>
      <c r="G136" s="6">
        <v>91.0</v>
      </c>
      <c r="H136" s="8">
        <v>0.88</v>
      </c>
      <c r="I136" s="7">
        <v>45878.0</v>
      </c>
      <c r="J136" s="6" t="s">
        <v>25</v>
      </c>
      <c r="K136" s="8">
        <v>0.92</v>
      </c>
      <c r="L136" s="9">
        <f>E136*Scoring_Weights!$B$2 + F136*Scoring_Weights!$B$3 + G136*Scoring_Weights!$B$4</f>
        <v>78.9</v>
      </c>
      <c r="M136" s="6" t="str">
        <f>IF(AND(H136&gt;=(VLOOKUP(J136,Interview_Slots!$A$2:$D$5,4,FALSE)/100), L136&gt;=VLOOKUP(J136,Interview_Slots!$A$2:$D$5,3,FALSE)), "Eligible", "Not Eligible")</f>
        <v>Eligible</v>
      </c>
    </row>
    <row r="137">
      <c r="A137" s="6" t="s">
        <v>304</v>
      </c>
      <c r="B137" s="6" t="s">
        <v>305</v>
      </c>
      <c r="C137" s="6" t="s">
        <v>53</v>
      </c>
      <c r="D137" s="7" t="str">
        <f>VLOOKUP(C137, Dept_Lookup!$A$2:$B$17, 2, FALSE)</f>
        <v>Mechanical</v>
      </c>
      <c r="E137" s="6">
        <v>63.0</v>
      </c>
      <c r="F137" s="6">
        <v>83.0</v>
      </c>
      <c r="G137" s="6">
        <v>76.0</v>
      </c>
      <c r="H137" s="8">
        <v>0.95</v>
      </c>
      <c r="I137" s="7">
        <v>45891.0</v>
      </c>
      <c r="J137" s="6" t="s">
        <v>25</v>
      </c>
      <c r="K137" s="8">
        <v>0.87</v>
      </c>
      <c r="L137" s="9">
        <f>E137*Scoring_Weights!$B$2 + F137*Scoring_Weights!$B$3 + G137*Scoring_Weights!$B$4</f>
        <v>76.5</v>
      </c>
      <c r="M137" s="6" t="str">
        <f>IF(AND(H137&gt;=(VLOOKUP(J137,Interview_Slots!$A$2:$D$5,4,FALSE)/100), L137&gt;=VLOOKUP(J137,Interview_Slots!$A$2:$D$5,3,FALSE)), "Eligible", "Not Eligible")</f>
        <v>Eligible</v>
      </c>
    </row>
    <row r="138">
      <c r="A138" s="6" t="s">
        <v>306</v>
      </c>
      <c r="B138" s="6" t="s">
        <v>307</v>
      </c>
      <c r="C138" s="6" t="s">
        <v>56</v>
      </c>
      <c r="D138" s="7" t="str">
        <f>VLOOKUP(C138, Dept_Lookup!$A$2:$B$17, 2, FALSE)</f>
        <v>Civil</v>
      </c>
      <c r="E138" s="6">
        <v>70.0</v>
      </c>
      <c r="F138" s="6">
        <v>60.0</v>
      </c>
      <c r="G138" s="6">
        <v>68.0</v>
      </c>
      <c r="H138" s="8">
        <v>0.88</v>
      </c>
      <c r="I138" s="7">
        <v>45913.0</v>
      </c>
      <c r="J138" s="6" t="s">
        <v>25</v>
      </c>
      <c r="K138" s="8">
        <v>0.9</v>
      </c>
      <c r="L138" s="9">
        <f>E138*Scoring_Weights!$B$2 + F138*Scoring_Weights!$B$3 + G138*Scoring_Weights!$B$4</f>
        <v>65.5</v>
      </c>
      <c r="M138" s="6" t="str">
        <f>IF(AND(H138&gt;=(VLOOKUP(J138,Interview_Slots!$A$2:$D$5,4,FALSE)/100), L138&gt;=VLOOKUP(J138,Interview_Slots!$A$2:$D$5,3,FALSE)), "Eligible", "Not Eligible")</f>
        <v>Not Eligible</v>
      </c>
    </row>
    <row r="139">
      <c r="A139" s="6" t="s">
        <v>308</v>
      </c>
      <c r="B139" s="6" t="s">
        <v>309</v>
      </c>
      <c r="C139" s="6" t="s">
        <v>59</v>
      </c>
      <c r="D139" s="7" t="str">
        <f>VLOOKUP(C139, Dept_Lookup!$A$2:$B$17, 2, FALSE)</f>
        <v>Civil</v>
      </c>
      <c r="E139" s="6">
        <v>89.0</v>
      </c>
      <c r="F139" s="6">
        <v>82.0</v>
      </c>
      <c r="G139" s="6">
        <v>72.0</v>
      </c>
      <c r="H139" s="8">
        <v>0.75</v>
      </c>
      <c r="I139" s="7">
        <v>45893.0</v>
      </c>
      <c r="J139" s="6" t="s">
        <v>17</v>
      </c>
      <c r="K139" s="8">
        <v>0.99</v>
      </c>
      <c r="L139" s="9">
        <f>E139*Scoring_Weights!$B$2 + F139*Scoring_Weights!$B$3 + G139*Scoring_Weights!$B$4</f>
        <v>78.05</v>
      </c>
      <c r="M139" s="6" t="str">
        <f>IF(AND(H139&gt;=(VLOOKUP(J139,Interview_Slots!$A$2:$D$5,4,FALSE)/100), L139&gt;=VLOOKUP(J139,Interview_Slots!$A$2:$D$5,3,FALSE)), "Eligible", "Not Eligible")</f>
        <v>Eligible</v>
      </c>
    </row>
    <row r="140">
      <c r="A140" s="6" t="s">
        <v>310</v>
      </c>
      <c r="B140" s="6" t="s">
        <v>311</v>
      </c>
      <c r="C140" s="6" t="s">
        <v>62</v>
      </c>
      <c r="D140" s="7" t="str">
        <f>VLOOKUP(C140, Dept_Lookup!$A$2:$B$17, 2, FALSE)</f>
        <v>Civil</v>
      </c>
      <c r="E140" s="6">
        <v>86.0</v>
      </c>
      <c r="F140" s="6">
        <v>87.0</v>
      </c>
      <c r="G140" s="6">
        <v>77.0</v>
      </c>
      <c r="H140" s="8">
        <v>0.94</v>
      </c>
      <c r="I140" s="7">
        <v>45901.0</v>
      </c>
      <c r="J140" s="6" t="s">
        <v>21</v>
      </c>
      <c r="K140" s="8">
        <v>0.85</v>
      </c>
      <c r="L140" s="9">
        <f>E140*Scoring_Weights!$B$2 + F140*Scoring_Weights!$B$3 + G140*Scoring_Weights!$B$4</f>
        <v>81.85</v>
      </c>
      <c r="M140" s="6" t="str">
        <f>IF(AND(H140&gt;=(VLOOKUP(J140,Interview_Slots!$A$2:$D$5,4,FALSE)/100), L140&gt;=VLOOKUP(J140,Interview_Slots!$A$2:$D$5,3,FALSE)), "Eligible", "Not Eligible")</f>
        <v>Eligible</v>
      </c>
    </row>
    <row r="141">
      <c r="A141" s="6" t="s">
        <v>312</v>
      </c>
      <c r="B141" s="6" t="s">
        <v>313</v>
      </c>
      <c r="C141" s="6" t="s">
        <v>65</v>
      </c>
      <c r="D141" s="7" t="str">
        <f>VLOOKUP(C141, Dept_Lookup!$A$2:$B$17, 2, FALSE)</f>
        <v>Civil</v>
      </c>
      <c r="E141" s="6">
        <v>60.0</v>
      </c>
      <c r="F141" s="6">
        <v>72.0</v>
      </c>
      <c r="G141" s="6">
        <v>56.0</v>
      </c>
      <c r="H141" s="8">
        <v>0.9</v>
      </c>
      <c r="I141" s="7">
        <v>45929.0</v>
      </c>
      <c r="J141" s="6" t="s">
        <v>17</v>
      </c>
      <c r="K141" s="8">
        <v>0.78</v>
      </c>
      <c r="L141" s="9">
        <f>E141*Scoring_Weights!$B$2 + F141*Scoring_Weights!$B$3 + G141*Scoring_Weights!$B$4</f>
        <v>62.2</v>
      </c>
      <c r="M141" s="6" t="str">
        <f>IF(AND(H141&gt;=(VLOOKUP(J141,Interview_Slots!$A$2:$D$5,4,FALSE)/100), L141&gt;=VLOOKUP(J141,Interview_Slots!$A$2:$D$5,3,FALSE)), "Eligible", "Not Eligible")</f>
        <v>Eligible</v>
      </c>
    </row>
    <row r="142">
      <c r="A142" s="6" t="s">
        <v>314</v>
      </c>
      <c r="B142" s="6" t="s">
        <v>315</v>
      </c>
      <c r="C142" s="6" t="s">
        <v>16</v>
      </c>
      <c r="D142" s="7" t="str">
        <f>VLOOKUP(C142, Dept_Lookup!$A$2:$B$17, 2, FALSE)</f>
        <v>Computer Science</v>
      </c>
      <c r="E142" s="6">
        <v>70.0</v>
      </c>
      <c r="F142" s="6">
        <v>86.0</v>
      </c>
      <c r="G142" s="6">
        <v>78.0</v>
      </c>
      <c r="H142" s="8">
        <v>0.78</v>
      </c>
      <c r="I142" s="7">
        <v>45893.0</v>
      </c>
      <c r="J142" s="6" t="s">
        <v>21</v>
      </c>
      <c r="K142" s="8">
        <v>0.8</v>
      </c>
      <c r="L142" s="9">
        <f>E142*Scoring_Weights!$B$2 + F142*Scoring_Weights!$B$3 + G142*Scoring_Weights!$B$4</f>
        <v>79.6</v>
      </c>
      <c r="M142" s="6" t="str">
        <f>IF(AND(H142&gt;=(VLOOKUP(J142,Interview_Slots!$A$2:$D$5,4,FALSE)/100), L142&gt;=VLOOKUP(J142,Interview_Slots!$A$2:$D$5,3,FALSE)), "Eligible", "Not Eligible")</f>
        <v>Not Eligible</v>
      </c>
    </row>
    <row r="143">
      <c r="A143" s="6" t="s">
        <v>316</v>
      </c>
      <c r="B143" s="6" t="s">
        <v>317</v>
      </c>
      <c r="C143" s="6" t="s">
        <v>20</v>
      </c>
      <c r="D143" s="7" t="str">
        <f>VLOOKUP(C143, Dept_Lookup!$A$2:$B$17, 2, FALSE)</f>
        <v>Computer Science</v>
      </c>
      <c r="E143" s="6">
        <v>57.0</v>
      </c>
      <c r="F143" s="6">
        <v>89.0</v>
      </c>
      <c r="G143" s="6">
        <v>62.0</v>
      </c>
      <c r="H143" s="8">
        <v>0.93</v>
      </c>
      <c r="I143" s="7">
        <v>45900.0</v>
      </c>
      <c r="J143" s="6" t="s">
        <v>32</v>
      </c>
      <c r="K143" s="8">
        <v>0.79</v>
      </c>
      <c r="L143" s="9">
        <f>E143*Scoring_Weights!$B$2 + F143*Scoring_Weights!$B$3 + G143*Scoring_Weights!$B$4</f>
        <v>70.7</v>
      </c>
      <c r="M143" s="6" t="str">
        <f>IF(AND(H143&gt;=(VLOOKUP(J143,Interview_Slots!$A$2:$D$5,4,FALSE)/100), L143&gt;=VLOOKUP(J143,Interview_Slots!$A$2:$D$5,3,FALSE)), "Eligible", "Not Eligible")</f>
        <v>Eligible</v>
      </c>
    </row>
    <row r="144">
      <c r="A144" s="6" t="s">
        <v>318</v>
      </c>
      <c r="B144" s="6" t="s">
        <v>319</v>
      </c>
      <c r="C144" s="6" t="s">
        <v>24</v>
      </c>
      <c r="D144" s="7" t="str">
        <f>VLOOKUP(C144, Dept_Lookup!$A$2:$B$17, 2, FALSE)</f>
        <v>Computer Science</v>
      </c>
      <c r="E144" s="6">
        <v>57.0</v>
      </c>
      <c r="F144" s="6">
        <v>58.0</v>
      </c>
      <c r="G144" s="6">
        <v>66.0</v>
      </c>
      <c r="H144" s="8">
        <v>0.79</v>
      </c>
      <c r="I144" s="7">
        <v>45842.0</v>
      </c>
      <c r="J144" s="6" t="s">
        <v>32</v>
      </c>
      <c r="K144" s="8">
        <v>0.76</v>
      </c>
      <c r="L144" s="9">
        <f>E144*Scoring_Weights!$B$2 + F144*Scoring_Weights!$B$3 + G144*Scoring_Weights!$B$4</f>
        <v>61.85</v>
      </c>
      <c r="M144" s="6" t="str">
        <f>IF(AND(H144&gt;=(VLOOKUP(J144,Interview_Slots!$A$2:$D$5,4,FALSE)/100), L144&gt;=VLOOKUP(J144,Interview_Slots!$A$2:$D$5,3,FALSE)), "Eligible", "Not Eligible")</f>
        <v>Not Eligible</v>
      </c>
    </row>
    <row r="145">
      <c r="A145" s="6" t="s">
        <v>320</v>
      </c>
      <c r="B145" s="6" t="s">
        <v>321</v>
      </c>
      <c r="C145" s="6" t="s">
        <v>28</v>
      </c>
      <c r="D145" s="7" t="str">
        <f>VLOOKUP(C145, Dept_Lookup!$A$2:$B$17, 2, FALSE)</f>
        <v>Computer Science</v>
      </c>
      <c r="E145" s="6">
        <v>79.0</v>
      </c>
      <c r="F145" s="6">
        <v>69.0</v>
      </c>
      <c r="G145" s="6">
        <v>86.0</v>
      </c>
      <c r="H145" s="8">
        <v>0.92</v>
      </c>
      <c r="I145" s="7">
        <v>45860.0</v>
      </c>
      <c r="J145" s="6" t="s">
        <v>17</v>
      </c>
      <c r="K145" s="8">
        <v>0.93</v>
      </c>
      <c r="L145" s="9">
        <f>E145*Scoring_Weights!$B$2 + F145*Scoring_Weights!$B$3 + G145*Scoring_Weights!$B$4</f>
        <v>79</v>
      </c>
      <c r="M145" s="6" t="str">
        <f>IF(AND(H145&gt;=(VLOOKUP(J145,Interview_Slots!$A$2:$D$5,4,FALSE)/100), L145&gt;=VLOOKUP(J145,Interview_Slots!$A$2:$D$5,3,FALSE)), "Eligible", "Not Eligible")</f>
        <v>Eligible</v>
      </c>
    </row>
    <row r="146">
      <c r="A146" s="6" t="s">
        <v>322</v>
      </c>
      <c r="B146" s="6" t="s">
        <v>323</v>
      </c>
      <c r="C146" s="6" t="s">
        <v>31</v>
      </c>
      <c r="D146" s="7" t="str">
        <f>VLOOKUP(C146, Dept_Lookup!$A$2:$B$17, 2, FALSE)</f>
        <v>Electronics</v>
      </c>
      <c r="E146" s="6">
        <v>72.0</v>
      </c>
      <c r="F146" s="6">
        <v>75.0</v>
      </c>
      <c r="G146" s="6">
        <v>84.0</v>
      </c>
      <c r="H146" s="8">
        <v>0.81</v>
      </c>
      <c r="I146" s="7">
        <v>45919.0</v>
      </c>
      <c r="J146" s="6" t="s">
        <v>21</v>
      </c>
      <c r="K146" s="8">
        <v>0.88</v>
      </c>
      <c r="L146" s="9">
        <f>E146*Scoring_Weights!$B$2 + F146*Scoring_Weights!$B$3 + G146*Scoring_Weights!$B$4</f>
        <v>79.05</v>
      </c>
      <c r="M146" s="6" t="str">
        <f>IF(AND(H146&gt;=(VLOOKUP(J146,Interview_Slots!$A$2:$D$5,4,FALSE)/100), L146&gt;=VLOOKUP(J146,Interview_Slots!$A$2:$D$5,3,FALSE)), "Eligible", "Not Eligible")</f>
        <v>Eligible</v>
      </c>
    </row>
    <row r="147">
      <c r="A147" s="6" t="s">
        <v>324</v>
      </c>
      <c r="B147" s="6" t="s">
        <v>325</v>
      </c>
      <c r="C147" s="6" t="s">
        <v>35</v>
      </c>
      <c r="D147" s="7" t="str">
        <f>VLOOKUP(C147, Dept_Lookup!$A$2:$B$17, 2, FALSE)</f>
        <v>Electronics</v>
      </c>
      <c r="E147" s="6">
        <v>76.0</v>
      </c>
      <c r="F147" s="6">
        <v>60.0</v>
      </c>
      <c r="G147" s="6">
        <v>94.0</v>
      </c>
      <c r="H147" s="8">
        <v>0.83</v>
      </c>
      <c r="I147" s="7">
        <v>45900.0</v>
      </c>
      <c r="J147" s="6" t="s">
        <v>21</v>
      </c>
      <c r="K147" s="8">
        <v>0.87</v>
      </c>
      <c r="L147" s="9">
        <f>E147*Scoring_Weights!$B$2 + F147*Scoring_Weights!$B$3 + G147*Scoring_Weights!$B$4</f>
        <v>79.4</v>
      </c>
      <c r="M147" s="6" t="str">
        <f>IF(AND(H147&gt;=(VLOOKUP(J147,Interview_Slots!$A$2:$D$5,4,FALSE)/100), L147&gt;=VLOOKUP(J147,Interview_Slots!$A$2:$D$5,3,FALSE)), "Eligible", "Not Eligible")</f>
        <v>Eligible</v>
      </c>
    </row>
    <row r="148">
      <c r="A148" s="6" t="s">
        <v>326</v>
      </c>
      <c r="B148" s="6" t="s">
        <v>327</v>
      </c>
      <c r="C148" s="6" t="s">
        <v>38</v>
      </c>
      <c r="D148" s="7" t="str">
        <f>VLOOKUP(C148, Dept_Lookup!$A$2:$B$17, 2, FALSE)</f>
        <v>Electronics</v>
      </c>
      <c r="E148" s="6">
        <v>82.0</v>
      </c>
      <c r="F148" s="6">
        <v>95.0</v>
      </c>
      <c r="G148" s="6">
        <v>86.0</v>
      </c>
      <c r="H148" s="8">
        <v>0.79</v>
      </c>
      <c r="I148" s="7">
        <v>45878.0</v>
      </c>
      <c r="J148" s="6" t="s">
        <v>32</v>
      </c>
      <c r="K148" s="8">
        <v>0.83</v>
      </c>
      <c r="L148" s="9">
        <f>E148*Scoring_Weights!$B$2 + F148*Scoring_Weights!$B$3 + G148*Scoring_Weights!$B$4</f>
        <v>88.55</v>
      </c>
      <c r="M148" s="6" t="str">
        <f>IF(AND(H148&gt;=(VLOOKUP(J148,Interview_Slots!$A$2:$D$5,4,FALSE)/100), L148&gt;=VLOOKUP(J148,Interview_Slots!$A$2:$D$5,3,FALSE)), "Eligible", "Not Eligible")</f>
        <v>Eligible</v>
      </c>
    </row>
    <row r="149">
      <c r="A149" s="6" t="s">
        <v>328</v>
      </c>
      <c r="B149" s="6" t="s">
        <v>329</v>
      </c>
      <c r="C149" s="6" t="s">
        <v>41</v>
      </c>
      <c r="D149" s="7" t="str">
        <f>VLOOKUP(C149, Dept_Lookup!$A$2:$B$17, 2, FALSE)</f>
        <v>Electronics</v>
      </c>
      <c r="E149" s="6">
        <v>84.0</v>
      </c>
      <c r="F149" s="6">
        <v>71.0</v>
      </c>
      <c r="G149" s="6">
        <v>66.0</v>
      </c>
      <c r="H149" s="8">
        <v>0.84</v>
      </c>
      <c r="I149" s="7">
        <v>45900.0</v>
      </c>
      <c r="J149" s="6" t="s">
        <v>25</v>
      </c>
      <c r="K149" s="8">
        <v>1.0</v>
      </c>
      <c r="L149" s="9">
        <f>E149*Scoring_Weights!$B$2 + F149*Scoring_Weights!$B$3 + G149*Scoring_Weights!$B$4</f>
        <v>70.45</v>
      </c>
      <c r="M149" s="6" t="str">
        <f>IF(AND(H149&gt;=(VLOOKUP(J149,Interview_Slots!$A$2:$D$5,4,FALSE)/100), L149&gt;=VLOOKUP(J149,Interview_Slots!$A$2:$D$5,3,FALSE)), "Eligible", "Not Eligible")</f>
        <v>Not Eligible</v>
      </c>
    </row>
    <row r="150">
      <c r="A150" s="6" t="s">
        <v>330</v>
      </c>
      <c r="B150" s="6" t="s">
        <v>331</v>
      </c>
      <c r="C150" s="6" t="s">
        <v>44</v>
      </c>
      <c r="D150" s="7" t="str">
        <f>VLOOKUP(C150, Dept_Lookup!$A$2:$B$17, 2, FALSE)</f>
        <v>Mechanical</v>
      </c>
      <c r="E150" s="6">
        <v>74.0</v>
      </c>
      <c r="F150" s="6">
        <v>96.0</v>
      </c>
      <c r="G150" s="6">
        <v>89.0</v>
      </c>
      <c r="H150" s="8">
        <v>0.81</v>
      </c>
      <c r="I150" s="7">
        <v>45870.0</v>
      </c>
      <c r="J150" s="6" t="s">
        <v>25</v>
      </c>
      <c r="K150" s="8">
        <v>1.0</v>
      </c>
      <c r="L150" s="9">
        <f>E150*Scoring_Weights!$B$2 + F150*Scoring_Weights!$B$3 + G150*Scoring_Weights!$B$4</f>
        <v>89.2</v>
      </c>
      <c r="M150" s="6" t="str">
        <f>IF(AND(H150&gt;=(VLOOKUP(J150,Interview_Slots!$A$2:$D$5,4,FALSE)/100), L150&gt;=VLOOKUP(J150,Interview_Slots!$A$2:$D$5,3,FALSE)), "Eligible", "Not Eligible")</f>
        <v>Not Eligible</v>
      </c>
    </row>
    <row r="151">
      <c r="A151" s="6" t="s">
        <v>332</v>
      </c>
      <c r="B151" s="6" t="s">
        <v>333</v>
      </c>
      <c r="C151" s="6" t="s">
        <v>47</v>
      </c>
      <c r="D151" s="7" t="str">
        <f>VLOOKUP(C151, Dept_Lookup!$A$2:$B$17, 2, FALSE)</f>
        <v>Mechanical</v>
      </c>
      <c r="E151" s="6">
        <v>92.0</v>
      </c>
      <c r="F151" s="6">
        <v>77.0</v>
      </c>
      <c r="G151" s="6">
        <v>89.0</v>
      </c>
      <c r="H151" s="8">
        <v>0.84</v>
      </c>
      <c r="I151" s="11">
        <v>45898.0</v>
      </c>
      <c r="J151" s="6" t="s">
        <v>25</v>
      </c>
      <c r="K151" s="8">
        <v>0.73</v>
      </c>
      <c r="L151" s="9">
        <f>E151*Scoring_Weights!$B$2 + F151*Scoring_Weights!$B$3 + G151*Scoring_Weights!$B$4</f>
        <v>85.25</v>
      </c>
      <c r="M151" s="6" t="str">
        <f>IF(AND(H151&gt;=(VLOOKUP(J151,Interview_Slots!$A$2:$D$5,4,FALSE)/100), L151&gt;=VLOOKUP(J151,Interview_Slots!$A$2:$D$5,3,FALSE)), "Eligible", "Not Eligible")</f>
        <v>Not Eligible</v>
      </c>
    </row>
    <row r="152">
      <c r="A152" s="6" t="s">
        <v>334</v>
      </c>
      <c r="B152" s="6" t="s">
        <v>335</v>
      </c>
      <c r="C152" s="6" t="s">
        <v>50</v>
      </c>
      <c r="D152" s="7" t="str">
        <f>VLOOKUP(C152, Dept_Lookup!$A$2:$B$17, 2, FALSE)</f>
        <v>Mechanical</v>
      </c>
      <c r="E152" s="6">
        <v>95.0</v>
      </c>
      <c r="F152" s="6">
        <v>79.0</v>
      </c>
      <c r="G152" s="6">
        <v>88.0</v>
      </c>
      <c r="H152" s="8">
        <v>0.86</v>
      </c>
      <c r="I152" s="7">
        <v>45867.0</v>
      </c>
      <c r="J152" s="6" t="s">
        <v>32</v>
      </c>
      <c r="K152" s="8">
        <v>0.82</v>
      </c>
      <c r="L152" s="9">
        <f>E152*Scoring_Weights!$B$2 + F152*Scoring_Weights!$B$3 + G152*Scoring_Weights!$B$4</f>
        <v>85.9</v>
      </c>
      <c r="M152" s="6" t="str">
        <f>IF(AND(H152&gt;=(VLOOKUP(J152,Interview_Slots!$A$2:$D$5,4,FALSE)/100), L152&gt;=VLOOKUP(J152,Interview_Slots!$A$2:$D$5,3,FALSE)), "Eligible", "Not Eligible")</f>
        <v>Eligible</v>
      </c>
    </row>
    <row r="153">
      <c r="A153" s="6" t="s">
        <v>336</v>
      </c>
      <c r="B153" s="6" t="s">
        <v>337</v>
      </c>
      <c r="C153" s="6" t="s">
        <v>53</v>
      </c>
      <c r="D153" s="7" t="str">
        <f>VLOOKUP(C153, Dept_Lookup!$A$2:$B$17, 2, FALSE)</f>
        <v>Mechanical</v>
      </c>
      <c r="E153" s="6">
        <v>79.0</v>
      </c>
      <c r="F153" s="6">
        <v>62.0</v>
      </c>
      <c r="G153" s="6">
        <v>70.0</v>
      </c>
      <c r="H153" s="8">
        <v>0.88</v>
      </c>
      <c r="I153" s="7">
        <v>45893.0</v>
      </c>
      <c r="J153" s="6" t="s">
        <v>32</v>
      </c>
      <c r="K153" s="8">
        <v>0.89</v>
      </c>
      <c r="L153" s="9">
        <f>E153*Scoring_Weights!$B$2 + F153*Scoring_Weights!$B$3 + G153*Scoring_Weights!$B$4</f>
        <v>68.55</v>
      </c>
      <c r="M153" s="6" t="str">
        <f>IF(AND(H153&gt;=(VLOOKUP(J153,Interview_Slots!$A$2:$D$5,4,FALSE)/100), L153&gt;=VLOOKUP(J153,Interview_Slots!$A$2:$D$5,3,FALSE)), "Eligible", "Not Eligible")</f>
        <v>Eligible</v>
      </c>
    </row>
    <row r="154">
      <c r="A154" s="6" t="s">
        <v>338</v>
      </c>
      <c r="B154" s="6" t="s">
        <v>339</v>
      </c>
      <c r="C154" s="6" t="s">
        <v>56</v>
      </c>
      <c r="D154" s="7" t="str">
        <f>VLOOKUP(C154, Dept_Lookup!$A$2:$B$17, 2, FALSE)</f>
        <v>Civil</v>
      </c>
      <c r="E154" s="6">
        <v>56.0</v>
      </c>
      <c r="F154" s="6">
        <v>97.0</v>
      </c>
      <c r="G154" s="6">
        <v>76.0</v>
      </c>
      <c r="H154" s="8">
        <v>0.88</v>
      </c>
      <c r="I154" s="7">
        <v>45880.0</v>
      </c>
      <c r="J154" s="6" t="s">
        <v>17</v>
      </c>
      <c r="K154" s="8">
        <v>0.73</v>
      </c>
      <c r="L154" s="9">
        <f>E154*Scoring_Weights!$B$2 + F154*Scoring_Weights!$B$3 + G154*Scoring_Weights!$B$4</f>
        <v>80.35</v>
      </c>
      <c r="M154" s="6" t="str">
        <f>IF(AND(H154&gt;=(VLOOKUP(J154,Interview_Slots!$A$2:$D$5,4,FALSE)/100), L154&gt;=VLOOKUP(J154,Interview_Slots!$A$2:$D$5,3,FALSE)), "Eligible", "Not Eligible")</f>
        <v>Eligible</v>
      </c>
    </row>
    <row r="155">
      <c r="A155" s="6" t="s">
        <v>340</v>
      </c>
      <c r="B155" s="6" t="s">
        <v>341</v>
      </c>
      <c r="C155" s="6" t="s">
        <v>59</v>
      </c>
      <c r="D155" s="7" t="str">
        <f>VLOOKUP(C155, Dept_Lookup!$A$2:$B$17, 2, FALSE)</f>
        <v>Civil</v>
      </c>
      <c r="E155" s="6">
        <v>61.0</v>
      </c>
      <c r="F155" s="6">
        <v>56.0</v>
      </c>
      <c r="G155" s="6">
        <v>71.0</v>
      </c>
      <c r="H155" s="8">
        <v>0.85</v>
      </c>
      <c r="I155" s="7">
        <v>45870.0</v>
      </c>
      <c r="J155" s="6" t="s">
        <v>21</v>
      </c>
      <c r="K155" s="8">
        <v>0.77</v>
      </c>
      <c r="L155" s="9">
        <f>E155*Scoring_Weights!$B$2 + F155*Scoring_Weights!$B$3 + G155*Scoring_Weights!$B$4</f>
        <v>64.25</v>
      </c>
      <c r="M155" s="6" t="str">
        <f>IF(AND(H155&gt;=(VLOOKUP(J155,Interview_Slots!$A$2:$D$5,4,FALSE)/100), L155&gt;=VLOOKUP(J155,Interview_Slots!$A$2:$D$5,3,FALSE)), "Eligible", "Not Eligible")</f>
        <v>Not Eligible</v>
      </c>
    </row>
    <row r="156">
      <c r="A156" s="6" t="s">
        <v>342</v>
      </c>
      <c r="B156" s="6" t="s">
        <v>343</v>
      </c>
      <c r="C156" s="6" t="s">
        <v>62</v>
      </c>
      <c r="D156" s="7" t="str">
        <f>VLOOKUP(C156, Dept_Lookup!$A$2:$B$17, 2, FALSE)</f>
        <v>Civil</v>
      </c>
      <c r="E156" s="6">
        <v>87.0</v>
      </c>
      <c r="F156" s="6">
        <v>91.0</v>
      </c>
      <c r="G156" s="6">
        <v>91.0</v>
      </c>
      <c r="H156" s="8">
        <v>0.91</v>
      </c>
      <c r="I156" s="7">
        <v>45880.0</v>
      </c>
      <c r="J156" s="6" t="s">
        <v>17</v>
      </c>
      <c r="K156" s="8">
        <v>0.84</v>
      </c>
      <c r="L156" s="9">
        <f>E156*Scoring_Weights!$B$2 + F156*Scoring_Weights!$B$3 + G156*Scoring_Weights!$B$4</f>
        <v>90.4</v>
      </c>
      <c r="M156" s="6" t="str">
        <f>IF(AND(H156&gt;=(VLOOKUP(J156,Interview_Slots!$A$2:$D$5,4,FALSE)/100), L156&gt;=VLOOKUP(J156,Interview_Slots!$A$2:$D$5,3,FALSE)), "Eligible", "Not Eligible")</f>
        <v>Eligible</v>
      </c>
    </row>
    <row r="157">
      <c r="A157" s="6" t="s">
        <v>344</v>
      </c>
      <c r="B157" s="6" t="s">
        <v>345</v>
      </c>
      <c r="C157" s="6" t="s">
        <v>16</v>
      </c>
      <c r="D157" s="7" t="str">
        <f>VLOOKUP(C157, Dept_Lookup!$A$2:$B$17, 2, FALSE)</f>
        <v>Computer Science</v>
      </c>
      <c r="E157" s="6">
        <v>96.0</v>
      </c>
      <c r="F157" s="6">
        <v>64.0</v>
      </c>
      <c r="G157" s="6">
        <v>59.0</v>
      </c>
      <c r="H157" s="8">
        <v>0.86</v>
      </c>
      <c r="I157" s="7">
        <v>45878.0</v>
      </c>
      <c r="J157" s="6" t="s">
        <v>32</v>
      </c>
      <c r="K157" s="8">
        <v>0.77</v>
      </c>
      <c r="L157" s="9">
        <f>E157*Scoring_Weights!$B$2 + F157*Scoring_Weights!$B$3 + G157*Scoring_Weights!$B$4</f>
        <v>66.3</v>
      </c>
      <c r="M157" s="6" t="str">
        <f>IF(AND(H157&gt;=(VLOOKUP(J157,Interview_Slots!$A$2:$D$5,4,FALSE)/100), L157&gt;=VLOOKUP(J157,Interview_Slots!$A$2:$D$5,3,FALSE)), "Eligible", "Not Eligible")</f>
        <v>Eligible</v>
      </c>
    </row>
    <row r="158">
      <c r="A158" s="6" t="s">
        <v>346</v>
      </c>
      <c r="B158" s="6" t="s">
        <v>347</v>
      </c>
      <c r="C158" s="6" t="s">
        <v>20</v>
      </c>
      <c r="D158" s="7" t="str">
        <f>VLOOKUP(C158, Dept_Lookup!$A$2:$B$17, 2, FALSE)</f>
        <v>Computer Science</v>
      </c>
      <c r="E158" s="6">
        <v>82.0</v>
      </c>
      <c r="F158" s="6">
        <v>75.0</v>
      </c>
      <c r="G158" s="6">
        <v>90.0</v>
      </c>
      <c r="H158" s="8">
        <v>0.88</v>
      </c>
      <c r="I158" s="7">
        <v>45919.0</v>
      </c>
      <c r="J158" s="6" t="s">
        <v>17</v>
      </c>
      <c r="K158" s="8">
        <v>0.91</v>
      </c>
      <c r="L158" s="9">
        <f>E158*Scoring_Weights!$B$2 + F158*Scoring_Weights!$B$3 + G158*Scoring_Weights!$B$4</f>
        <v>83.55</v>
      </c>
      <c r="M158" s="6" t="str">
        <f>IF(AND(H158&gt;=(VLOOKUP(J158,Interview_Slots!$A$2:$D$5,4,FALSE)/100), L158&gt;=VLOOKUP(J158,Interview_Slots!$A$2:$D$5,3,FALSE)), "Eligible", "Not Eligible")</f>
        <v>Eligible</v>
      </c>
    </row>
    <row r="159">
      <c r="A159" s="6" t="s">
        <v>348</v>
      </c>
      <c r="B159" s="6" t="s">
        <v>349</v>
      </c>
      <c r="C159" s="6" t="s">
        <v>24</v>
      </c>
      <c r="D159" s="7" t="str">
        <f>VLOOKUP(C159, Dept_Lookup!$A$2:$B$17, 2, FALSE)</f>
        <v>Computer Science</v>
      </c>
      <c r="E159" s="6">
        <v>72.0</v>
      </c>
      <c r="F159" s="6">
        <v>78.0</v>
      </c>
      <c r="G159" s="6">
        <v>89.0</v>
      </c>
      <c r="H159" s="8">
        <v>0.76</v>
      </c>
      <c r="I159" s="7">
        <v>45860.0</v>
      </c>
      <c r="J159" s="6" t="s">
        <v>21</v>
      </c>
      <c r="K159" s="8">
        <v>0.84</v>
      </c>
      <c r="L159" s="9">
        <f>E159*Scoring_Weights!$B$2 + F159*Scoring_Weights!$B$3 + G159*Scoring_Weights!$B$4</f>
        <v>82.6</v>
      </c>
      <c r="M159" s="6" t="str">
        <f>IF(AND(H159&gt;=(VLOOKUP(J159,Interview_Slots!$A$2:$D$5,4,FALSE)/100), L159&gt;=VLOOKUP(J159,Interview_Slots!$A$2:$D$5,3,FALSE)), "Eligible", "Not Eligible")</f>
        <v>Not Eligible</v>
      </c>
    </row>
    <row r="160">
      <c r="A160" s="6" t="s">
        <v>350</v>
      </c>
      <c r="B160" s="6" t="s">
        <v>351</v>
      </c>
      <c r="C160" s="6" t="s">
        <v>28</v>
      </c>
      <c r="D160" s="7" t="str">
        <f>VLOOKUP(C160, Dept_Lookup!$A$2:$B$17, 2, FALSE)</f>
        <v>Computer Science</v>
      </c>
      <c r="E160" s="6">
        <v>94.0</v>
      </c>
      <c r="F160" s="6">
        <v>68.0</v>
      </c>
      <c r="G160" s="6">
        <v>58.0</v>
      </c>
      <c r="H160" s="8">
        <v>0.9</v>
      </c>
      <c r="I160" s="7">
        <v>45877.0</v>
      </c>
      <c r="J160" s="6" t="s">
        <v>21</v>
      </c>
      <c r="K160" s="8">
        <v>0.79</v>
      </c>
      <c r="L160" s="9">
        <f>E160*Scoring_Weights!$B$2 + F160*Scoring_Weights!$B$3 + G160*Scoring_Weights!$B$4</f>
        <v>66.9</v>
      </c>
      <c r="M160" s="6" t="str">
        <f>IF(AND(H160&gt;=(VLOOKUP(J160,Interview_Slots!$A$2:$D$5,4,FALSE)/100), L160&gt;=VLOOKUP(J160,Interview_Slots!$A$2:$D$5,3,FALSE)), "Eligible", "Not Eligible")</f>
        <v>Not Eligible</v>
      </c>
    </row>
    <row r="161">
      <c r="A161" s="6" t="s">
        <v>352</v>
      </c>
      <c r="B161" s="6" t="s">
        <v>353</v>
      </c>
      <c r="C161" s="6" t="s">
        <v>31</v>
      </c>
      <c r="D161" s="7" t="str">
        <f>VLOOKUP(C161, Dept_Lookup!$A$2:$B$17, 2, FALSE)</f>
        <v>Electronics</v>
      </c>
      <c r="E161" s="6">
        <v>77.0</v>
      </c>
      <c r="F161" s="6">
        <v>79.0</v>
      </c>
      <c r="G161" s="6">
        <v>63.0</v>
      </c>
      <c r="H161" s="8">
        <v>0.75</v>
      </c>
      <c r="I161" s="7">
        <v>45880.0</v>
      </c>
      <c r="J161" s="6" t="s">
        <v>21</v>
      </c>
      <c r="K161" s="8">
        <v>0.96</v>
      </c>
      <c r="L161" s="9">
        <f>E161*Scoring_Weights!$B$2 + F161*Scoring_Weights!$B$3 + G161*Scoring_Weights!$B$4</f>
        <v>70.7</v>
      </c>
      <c r="M161" s="6" t="str">
        <f>IF(AND(H161&gt;=(VLOOKUP(J161,Interview_Slots!$A$2:$D$5,4,FALSE)/100), L161&gt;=VLOOKUP(J161,Interview_Slots!$A$2:$D$5,3,FALSE)), "Eligible", "Not Eligible")</f>
        <v>Not Eligible</v>
      </c>
    </row>
    <row r="162">
      <c r="A162" s="6" t="s">
        <v>354</v>
      </c>
      <c r="B162" s="6" t="s">
        <v>355</v>
      </c>
      <c r="C162" s="6" t="s">
        <v>35</v>
      </c>
      <c r="D162" s="7" t="str">
        <f>VLOOKUP(C162, Dept_Lookup!$A$2:$B$17, 2, FALSE)</f>
        <v>Electronics</v>
      </c>
      <c r="E162" s="6">
        <v>74.0</v>
      </c>
      <c r="F162" s="6">
        <v>85.0</v>
      </c>
      <c r="G162" s="6">
        <v>69.0</v>
      </c>
      <c r="H162" s="8">
        <v>0.91</v>
      </c>
      <c r="I162" s="7">
        <v>45919.0</v>
      </c>
      <c r="J162" s="6" t="s">
        <v>25</v>
      </c>
      <c r="K162" s="8">
        <v>0.87</v>
      </c>
      <c r="L162" s="9">
        <f>E162*Scoring_Weights!$B$2 + F162*Scoring_Weights!$B$3 + G162*Scoring_Weights!$B$4</f>
        <v>75.35</v>
      </c>
      <c r="M162" s="6" t="str">
        <f>IF(AND(H162&gt;=(VLOOKUP(J162,Interview_Slots!$A$2:$D$5,4,FALSE)/100), L162&gt;=VLOOKUP(J162,Interview_Slots!$A$2:$D$5,3,FALSE)), "Eligible", "Not Eligible")</f>
        <v>Eligible</v>
      </c>
    </row>
    <row r="163">
      <c r="A163" s="6" t="s">
        <v>356</v>
      </c>
      <c r="B163" s="6" t="s">
        <v>357</v>
      </c>
      <c r="C163" s="6" t="s">
        <v>38</v>
      </c>
      <c r="D163" s="7" t="str">
        <f>VLOOKUP(C163, Dept_Lookup!$A$2:$B$17, 2, FALSE)</f>
        <v>Electronics</v>
      </c>
      <c r="E163" s="6">
        <v>57.0</v>
      </c>
      <c r="F163" s="6">
        <v>74.0</v>
      </c>
      <c r="G163" s="6">
        <v>97.0</v>
      </c>
      <c r="H163" s="8">
        <v>0.79</v>
      </c>
      <c r="I163" s="7">
        <v>45860.0</v>
      </c>
      <c r="J163" s="6" t="s">
        <v>25</v>
      </c>
      <c r="K163" s="8">
        <v>0.8</v>
      </c>
      <c r="L163" s="9">
        <f>E163*Scoring_Weights!$B$2 + F163*Scoring_Weights!$B$3 + G163*Scoring_Weights!$B$4</f>
        <v>82.95</v>
      </c>
      <c r="M163" s="6" t="str">
        <f>IF(AND(H163&gt;=(VLOOKUP(J163,Interview_Slots!$A$2:$D$5,4,FALSE)/100), L163&gt;=VLOOKUP(J163,Interview_Slots!$A$2:$D$5,3,FALSE)), "Eligible", "Not Eligible")</f>
        <v>Not Eligible</v>
      </c>
    </row>
    <row r="164">
      <c r="A164" s="6" t="s">
        <v>358</v>
      </c>
      <c r="B164" s="6" t="s">
        <v>359</v>
      </c>
      <c r="C164" s="6" t="s">
        <v>41</v>
      </c>
      <c r="D164" s="7" t="str">
        <f>VLOOKUP(C164, Dept_Lookup!$A$2:$B$17, 2, FALSE)</f>
        <v>Electronics</v>
      </c>
      <c r="E164" s="6">
        <v>61.0</v>
      </c>
      <c r="F164" s="6">
        <v>68.0</v>
      </c>
      <c r="G164" s="6">
        <v>77.0</v>
      </c>
      <c r="H164" s="8">
        <v>0.8</v>
      </c>
      <c r="I164" s="7">
        <v>45882.0</v>
      </c>
      <c r="J164" s="6" t="s">
        <v>25</v>
      </c>
      <c r="K164" s="8">
        <v>0.82</v>
      </c>
      <c r="L164" s="9">
        <f>E164*Scoring_Weights!$B$2 + F164*Scoring_Weights!$B$3 + G164*Scoring_Weights!$B$4</f>
        <v>71.45</v>
      </c>
      <c r="M164" s="6" t="str">
        <f>IF(AND(H164&gt;=(VLOOKUP(J164,Interview_Slots!$A$2:$D$5,4,FALSE)/100), L164&gt;=VLOOKUP(J164,Interview_Slots!$A$2:$D$5,3,FALSE)), "Eligible", "Not Eligible")</f>
        <v>Not Eligible</v>
      </c>
    </row>
    <row r="165">
      <c r="A165" s="6" t="s">
        <v>360</v>
      </c>
      <c r="B165" s="6" t="s">
        <v>361</v>
      </c>
      <c r="C165" s="6" t="s">
        <v>44</v>
      </c>
      <c r="D165" s="7" t="str">
        <f>VLOOKUP(C165, Dept_Lookup!$A$2:$B$17, 2, FALSE)</f>
        <v>Mechanical</v>
      </c>
      <c r="E165" s="6">
        <v>82.0</v>
      </c>
      <c r="F165" s="6">
        <v>91.0</v>
      </c>
      <c r="G165" s="6">
        <v>81.0</v>
      </c>
      <c r="H165" s="8">
        <v>0.94</v>
      </c>
      <c r="I165" s="7">
        <v>45893.0</v>
      </c>
      <c r="J165" s="6" t="s">
        <v>17</v>
      </c>
      <c r="K165" s="8">
        <v>0.98</v>
      </c>
      <c r="L165" s="9">
        <f>E165*Scoring_Weights!$B$2 + F165*Scoring_Weights!$B$3 + G165*Scoring_Weights!$B$4</f>
        <v>84.65</v>
      </c>
      <c r="M165" s="6" t="str">
        <f>IF(AND(H165&gt;=(VLOOKUP(J165,Interview_Slots!$A$2:$D$5,4,FALSE)/100), L165&gt;=VLOOKUP(J165,Interview_Slots!$A$2:$D$5,3,FALSE)), "Eligible", "Not Eligible")</f>
        <v>Eligible</v>
      </c>
    </row>
    <row r="166">
      <c r="A166" s="6" t="s">
        <v>362</v>
      </c>
      <c r="B166" s="6" t="s">
        <v>363</v>
      </c>
      <c r="C166" s="6" t="s">
        <v>47</v>
      </c>
      <c r="D166" s="7" t="str">
        <f>VLOOKUP(C166, Dept_Lookup!$A$2:$B$17, 2, FALSE)</f>
        <v>Mechanical</v>
      </c>
      <c r="E166" s="6">
        <v>90.0</v>
      </c>
      <c r="F166" s="6">
        <v>62.0</v>
      </c>
      <c r="G166" s="6">
        <v>92.0</v>
      </c>
      <c r="H166" s="8">
        <v>0.82</v>
      </c>
      <c r="I166" s="7">
        <v>45842.0</v>
      </c>
      <c r="J166" s="6" t="s">
        <v>32</v>
      </c>
      <c r="K166" s="8">
        <v>0.99</v>
      </c>
      <c r="L166" s="9">
        <f>E166*Scoring_Weights!$B$2 + F166*Scoring_Weights!$B$3 + G166*Scoring_Weights!$B$4</f>
        <v>81.2</v>
      </c>
      <c r="M166" s="6" t="str">
        <f>IF(AND(H166&gt;=(VLOOKUP(J166,Interview_Slots!$A$2:$D$5,4,FALSE)/100), L166&gt;=VLOOKUP(J166,Interview_Slots!$A$2:$D$5,3,FALSE)), "Eligible", "Not Eligible")</f>
        <v>Eligible</v>
      </c>
    </row>
    <row r="167">
      <c r="A167" s="6" t="s">
        <v>364</v>
      </c>
      <c r="B167" s="6" t="s">
        <v>365</v>
      </c>
      <c r="C167" s="6" t="s">
        <v>50</v>
      </c>
      <c r="D167" s="7" t="str">
        <f>VLOOKUP(C167, Dept_Lookup!$A$2:$B$17, 2, FALSE)</f>
        <v>Mechanical</v>
      </c>
      <c r="E167" s="6">
        <v>98.0</v>
      </c>
      <c r="F167" s="6">
        <v>83.0</v>
      </c>
      <c r="G167" s="6">
        <v>85.0</v>
      </c>
      <c r="H167" s="8">
        <v>0.89</v>
      </c>
      <c r="I167" s="7">
        <v>45875.0</v>
      </c>
      <c r="J167" s="6" t="s">
        <v>32</v>
      </c>
      <c r="K167" s="8">
        <v>0.78</v>
      </c>
      <c r="L167" s="9">
        <f>E167*Scoring_Weights!$B$2 + F167*Scoring_Weights!$B$3 + G167*Scoring_Weights!$B$4</f>
        <v>86.25</v>
      </c>
      <c r="M167" s="6" t="str">
        <f>IF(AND(H167&gt;=(VLOOKUP(J167,Interview_Slots!$A$2:$D$5,4,FALSE)/100), L167&gt;=VLOOKUP(J167,Interview_Slots!$A$2:$D$5,3,FALSE)), "Eligible", "Not Eligible")</f>
        <v>Eligible</v>
      </c>
    </row>
    <row r="168">
      <c r="A168" s="6" t="s">
        <v>366</v>
      </c>
      <c r="B168" s="6" t="s">
        <v>367</v>
      </c>
      <c r="C168" s="6" t="s">
        <v>53</v>
      </c>
      <c r="D168" s="7" t="str">
        <f>VLOOKUP(C168, Dept_Lookup!$A$2:$B$17, 2, FALSE)</f>
        <v>Mechanical</v>
      </c>
      <c r="E168" s="6">
        <v>97.0</v>
      </c>
      <c r="F168" s="6">
        <v>57.0</v>
      </c>
      <c r="G168" s="6">
        <v>93.0</v>
      </c>
      <c r="H168" s="8">
        <v>0.78</v>
      </c>
      <c r="I168" s="7">
        <v>45880.0</v>
      </c>
      <c r="J168" s="6" t="s">
        <v>21</v>
      </c>
      <c r="K168" s="8">
        <v>0.77</v>
      </c>
      <c r="L168" s="9">
        <f>E168*Scoring_Weights!$B$2 + F168*Scoring_Weights!$B$3 + G168*Scoring_Weights!$B$4</f>
        <v>81</v>
      </c>
      <c r="M168" s="6" t="str">
        <f>IF(AND(H168&gt;=(VLOOKUP(J168,Interview_Slots!$A$2:$D$5,4,FALSE)/100), L168&gt;=VLOOKUP(J168,Interview_Slots!$A$2:$D$5,3,FALSE)), "Eligible", "Not Eligible")</f>
        <v>Not Eligible</v>
      </c>
    </row>
    <row r="169">
      <c r="A169" s="6" t="s">
        <v>368</v>
      </c>
      <c r="B169" s="6" t="s">
        <v>369</v>
      </c>
      <c r="C169" s="6" t="s">
        <v>56</v>
      </c>
      <c r="D169" s="7" t="str">
        <f>VLOOKUP(C169, Dept_Lookup!$A$2:$B$17, 2, FALSE)</f>
        <v>Civil</v>
      </c>
      <c r="E169" s="6">
        <v>70.0</v>
      </c>
      <c r="F169" s="6">
        <v>94.0</v>
      </c>
      <c r="G169" s="6">
        <v>82.0</v>
      </c>
      <c r="H169" s="8">
        <v>0.83</v>
      </c>
      <c r="I169" s="11">
        <v>45898.0</v>
      </c>
      <c r="J169" s="6" t="s">
        <v>32</v>
      </c>
      <c r="K169" s="8">
        <v>0.86</v>
      </c>
      <c r="L169" s="9">
        <f>E169*Scoring_Weights!$B$2 + F169*Scoring_Weights!$B$3 + G169*Scoring_Weights!$B$4</f>
        <v>84.4</v>
      </c>
      <c r="M169" s="6" t="str">
        <f>IF(AND(H169&gt;=(VLOOKUP(J169,Interview_Slots!$A$2:$D$5,4,FALSE)/100), L169&gt;=VLOOKUP(J169,Interview_Slots!$A$2:$D$5,3,FALSE)), "Eligible", "Not Eligible")</f>
        <v>Eligible</v>
      </c>
    </row>
    <row r="170">
      <c r="A170" s="6" t="s">
        <v>370</v>
      </c>
      <c r="B170" s="6" t="s">
        <v>371</v>
      </c>
      <c r="C170" s="6" t="s">
        <v>59</v>
      </c>
      <c r="D170" s="7" t="str">
        <f>VLOOKUP(C170, Dept_Lookup!$A$2:$B$17, 2, FALSE)</f>
        <v>Civil</v>
      </c>
      <c r="E170" s="6">
        <v>65.0</v>
      </c>
      <c r="F170" s="6">
        <v>62.0</v>
      </c>
      <c r="G170" s="6">
        <v>72.0</v>
      </c>
      <c r="H170" s="8">
        <v>0.85</v>
      </c>
      <c r="I170" s="7">
        <v>45865.0</v>
      </c>
      <c r="J170" s="6" t="s">
        <v>32</v>
      </c>
      <c r="K170" s="8">
        <v>0.83</v>
      </c>
      <c r="L170" s="9">
        <f>E170*Scoring_Weights!$B$2 + F170*Scoring_Weights!$B$3 + G170*Scoring_Weights!$B$4</f>
        <v>67.45</v>
      </c>
      <c r="M170" s="6" t="str">
        <f>IF(AND(H170&gt;=(VLOOKUP(J170,Interview_Slots!$A$2:$D$5,4,FALSE)/100), L170&gt;=VLOOKUP(J170,Interview_Slots!$A$2:$D$5,3,FALSE)), "Eligible", "Not Eligible")</f>
        <v>Eligible</v>
      </c>
    </row>
    <row r="171">
      <c r="A171" s="6" t="s">
        <v>372</v>
      </c>
      <c r="B171" s="6" t="s">
        <v>373</v>
      </c>
      <c r="C171" s="6" t="s">
        <v>62</v>
      </c>
      <c r="D171" s="7" t="str">
        <f>VLOOKUP(C171, Dept_Lookup!$A$2:$B$17, 2, FALSE)</f>
        <v>Civil</v>
      </c>
      <c r="E171" s="6">
        <v>68.0</v>
      </c>
      <c r="F171" s="6">
        <v>91.0</v>
      </c>
      <c r="G171" s="6">
        <v>71.0</v>
      </c>
      <c r="H171" s="8">
        <v>0.81</v>
      </c>
      <c r="I171" s="7">
        <v>45865.0</v>
      </c>
      <c r="J171" s="6" t="s">
        <v>17</v>
      </c>
      <c r="K171" s="8">
        <v>0.73</v>
      </c>
      <c r="L171" s="9">
        <f>E171*Scoring_Weights!$B$2 + F171*Scoring_Weights!$B$3 + G171*Scoring_Weights!$B$4</f>
        <v>77.55</v>
      </c>
      <c r="M171" s="6" t="str">
        <f>IF(AND(H171&gt;=(VLOOKUP(J171,Interview_Slots!$A$2:$D$5,4,FALSE)/100), L171&gt;=VLOOKUP(J171,Interview_Slots!$A$2:$D$5,3,FALSE)), "Eligible", "Not Eligible")</f>
        <v>Eligible</v>
      </c>
    </row>
    <row r="172">
      <c r="A172" s="6" t="s">
        <v>374</v>
      </c>
      <c r="B172" s="6" t="s">
        <v>375</v>
      </c>
      <c r="C172" s="6" t="s">
        <v>65</v>
      </c>
      <c r="D172" s="7" t="str">
        <f>VLOOKUP(C172, Dept_Lookup!$A$2:$B$17, 2, FALSE)</f>
        <v>Civil</v>
      </c>
      <c r="E172" s="6">
        <v>81.0</v>
      </c>
      <c r="F172" s="6">
        <v>64.0</v>
      </c>
      <c r="G172" s="6">
        <v>79.0</v>
      </c>
      <c r="H172" s="8">
        <v>0.83</v>
      </c>
      <c r="I172" s="7">
        <v>45866.0</v>
      </c>
      <c r="J172" s="6" t="s">
        <v>21</v>
      </c>
      <c r="K172" s="8">
        <v>0.89</v>
      </c>
      <c r="L172" s="9">
        <f>E172*Scoring_Weights!$B$2 + F172*Scoring_Weights!$B$3 + G172*Scoring_Weights!$B$4</f>
        <v>74.05</v>
      </c>
      <c r="M172" s="6" t="str">
        <f>IF(AND(H172&gt;=(VLOOKUP(J172,Interview_Slots!$A$2:$D$5,4,FALSE)/100), L172&gt;=VLOOKUP(J172,Interview_Slots!$A$2:$D$5,3,FALSE)), "Eligible", "Not Eligible")</f>
        <v>Eligible</v>
      </c>
    </row>
    <row r="173">
      <c r="A173" s="6" t="s">
        <v>376</v>
      </c>
      <c r="B173" s="6" t="s">
        <v>377</v>
      </c>
      <c r="C173" s="6" t="s">
        <v>16</v>
      </c>
      <c r="D173" s="7" t="str">
        <f>VLOOKUP(C173, Dept_Lookup!$A$2:$B$17, 2, FALSE)</f>
        <v>Computer Science</v>
      </c>
      <c r="E173" s="6">
        <v>93.0</v>
      </c>
      <c r="F173" s="6">
        <v>61.0</v>
      </c>
      <c r="G173" s="6">
        <v>77.0</v>
      </c>
      <c r="H173" s="8">
        <v>0.83</v>
      </c>
      <c r="I173" s="7">
        <v>45842.0</v>
      </c>
      <c r="J173" s="6" t="s">
        <v>21</v>
      </c>
      <c r="K173" s="8">
        <v>0.75</v>
      </c>
      <c r="L173" s="9">
        <f>E173*Scoring_Weights!$B$2 + F173*Scoring_Weights!$B$3 + G173*Scoring_Weights!$B$4</f>
        <v>73.8</v>
      </c>
      <c r="M173" s="6" t="str">
        <f>IF(AND(H173&gt;=(VLOOKUP(J173,Interview_Slots!$A$2:$D$5,4,FALSE)/100), L173&gt;=VLOOKUP(J173,Interview_Slots!$A$2:$D$5,3,FALSE)), "Eligible", "Not Eligible")</f>
        <v>Eligible</v>
      </c>
    </row>
    <row r="174">
      <c r="A174" s="6" t="s">
        <v>378</v>
      </c>
      <c r="B174" s="6" t="s">
        <v>379</v>
      </c>
      <c r="C174" s="6" t="s">
        <v>20</v>
      </c>
      <c r="D174" s="7" t="str">
        <f>VLOOKUP(C174, Dept_Lookup!$A$2:$B$17, 2, FALSE)</f>
        <v>Computer Science</v>
      </c>
      <c r="E174" s="6">
        <v>61.0</v>
      </c>
      <c r="F174" s="6">
        <v>90.0</v>
      </c>
      <c r="G174" s="6">
        <v>80.0</v>
      </c>
      <c r="H174" s="8">
        <v>0.92</v>
      </c>
      <c r="I174" s="7">
        <v>45854.0</v>
      </c>
      <c r="J174" s="6" t="s">
        <v>21</v>
      </c>
      <c r="K174" s="8">
        <v>0.88</v>
      </c>
      <c r="L174" s="9">
        <f>E174*Scoring_Weights!$B$2 + F174*Scoring_Weights!$B$3 + G174*Scoring_Weights!$B$4</f>
        <v>80.65</v>
      </c>
      <c r="M174" s="6" t="str">
        <f>IF(AND(H174&gt;=(VLOOKUP(J174,Interview_Slots!$A$2:$D$5,4,FALSE)/100), L174&gt;=VLOOKUP(J174,Interview_Slots!$A$2:$D$5,3,FALSE)), "Eligible", "Not Eligible")</f>
        <v>Eligible</v>
      </c>
    </row>
    <row r="175">
      <c r="A175" s="6" t="s">
        <v>380</v>
      </c>
      <c r="B175" s="6" t="s">
        <v>381</v>
      </c>
      <c r="C175" s="6" t="s">
        <v>24</v>
      </c>
      <c r="D175" s="7" t="str">
        <f>VLOOKUP(C175, Dept_Lookup!$A$2:$B$17, 2, FALSE)</f>
        <v>Computer Science</v>
      </c>
      <c r="E175" s="6">
        <v>60.0</v>
      </c>
      <c r="F175" s="6">
        <v>70.0</v>
      </c>
      <c r="G175" s="6">
        <v>97.0</v>
      </c>
      <c r="H175" s="8">
        <v>0.84</v>
      </c>
      <c r="I175" s="7">
        <v>45866.0</v>
      </c>
      <c r="J175" s="6" t="s">
        <v>25</v>
      </c>
      <c r="K175" s="8">
        <v>0.78</v>
      </c>
      <c r="L175" s="9">
        <f>E175*Scoring_Weights!$B$2 + F175*Scoring_Weights!$B$3 + G175*Scoring_Weights!$B$4</f>
        <v>82</v>
      </c>
      <c r="M175" s="6" t="str">
        <f>IF(AND(H175&gt;=(VLOOKUP(J175,Interview_Slots!$A$2:$D$5,4,FALSE)/100), L175&gt;=VLOOKUP(J175,Interview_Slots!$A$2:$D$5,3,FALSE)), "Eligible", "Not Eligible")</f>
        <v>Not Eligible</v>
      </c>
    </row>
    <row r="176">
      <c r="A176" s="6" t="s">
        <v>382</v>
      </c>
      <c r="B176" s="6" t="s">
        <v>383</v>
      </c>
      <c r="C176" s="6" t="s">
        <v>28</v>
      </c>
      <c r="D176" s="7" t="str">
        <f>VLOOKUP(C176, Dept_Lookup!$A$2:$B$17, 2, FALSE)</f>
        <v>Computer Science</v>
      </c>
      <c r="E176" s="6">
        <v>58.0</v>
      </c>
      <c r="F176" s="6">
        <v>80.0</v>
      </c>
      <c r="G176" s="6">
        <v>67.0</v>
      </c>
      <c r="H176" s="8">
        <v>0.93</v>
      </c>
      <c r="I176" s="7">
        <v>45877.0</v>
      </c>
      <c r="J176" s="6" t="s">
        <v>25</v>
      </c>
      <c r="K176" s="8">
        <v>0.8</v>
      </c>
      <c r="L176" s="9">
        <f>E176*Scoring_Weights!$B$2 + F176*Scoring_Weights!$B$3 + G176*Scoring_Weights!$B$4</f>
        <v>70.2</v>
      </c>
      <c r="M176" s="6" t="str">
        <f>IF(AND(H176&gt;=(VLOOKUP(J176,Interview_Slots!$A$2:$D$5,4,FALSE)/100), L176&gt;=VLOOKUP(J176,Interview_Slots!$A$2:$D$5,3,FALSE)), "Eligible", "Not Eligible")</f>
        <v>Not Eligible</v>
      </c>
    </row>
    <row r="177">
      <c r="A177" s="6" t="s">
        <v>384</v>
      </c>
      <c r="B177" s="6" t="s">
        <v>385</v>
      </c>
      <c r="C177" s="6" t="s">
        <v>31</v>
      </c>
      <c r="D177" s="7" t="str">
        <f>VLOOKUP(C177, Dept_Lookup!$A$2:$B$17, 2, FALSE)</f>
        <v>Electronics</v>
      </c>
      <c r="E177" s="6">
        <v>85.0</v>
      </c>
      <c r="F177" s="6">
        <v>77.0</v>
      </c>
      <c r="G177" s="6">
        <v>82.0</v>
      </c>
      <c r="H177" s="8">
        <v>0.86</v>
      </c>
      <c r="I177" s="7">
        <v>45843.0</v>
      </c>
      <c r="J177" s="6" t="s">
        <v>17</v>
      </c>
      <c r="K177" s="8">
        <v>0.8</v>
      </c>
      <c r="L177" s="9">
        <f>E177*Scoring_Weights!$B$2 + F177*Scoring_Weights!$B$3 + G177*Scoring_Weights!$B$4</f>
        <v>80.7</v>
      </c>
      <c r="M177" s="6" t="str">
        <f>IF(AND(H177&gt;=(VLOOKUP(J177,Interview_Slots!$A$2:$D$5,4,FALSE)/100), L177&gt;=VLOOKUP(J177,Interview_Slots!$A$2:$D$5,3,FALSE)), "Eligible", "Not Eligible")</f>
        <v>Eligible</v>
      </c>
    </row>
    <row r="178">
      <c r="A178" s="6" t="s">
        <v>386</v>
      </c>
      <c r="B178" s="6" t="s">
        <v>387</v>
      </c>
      <c r="C178" s="6" t="s">
        <v>35</v>
      </c>
      <c r="D178" s="7" t="str">
        <f>VLOOKUP(C178, Dept_Lookup!$A$2:$B$17, 2, FALSE)</f>
        <v>Electronics</v>
      </c>
      <c r="E178" s="6">
        <v>98.0</v>
      </c>
      <c r="F178" s="6">
        <v>73.0</v>
      </c>
      <c r="G178" s="6">
        <v>70.0</v>
      </c>
      <c r="H178" s="8">
        <v>0.87</v>
      </c>
      <c r="I178" s="11">
        <v>45898.0</v>
      </c>
      <c r="J178" s="6" t="s">
        <v>17</v>
      </c>
      <c r="K178" s="8">
        <v>0.82</v>
      </c>
      <c r="L178" s="9">
        <f>E178*Scoring_Weights!$B$2 + F178*Scoring_Weights!$B$3 + G178*Scoring_Weights!$B$4</f>
        <v>75.25</v>
      </c>
      <c r="M178" s="6" t="str">
        <f>IF(AND(H178&gt;=(VLOOKUP(J178,Interview_Slots!$A$2:$D$5,4,FALSE)/100), L178&gt;=VLOOKUP(J178,Interview_Slots!$A$2:$D$5,3,FALSE)), "Eligible", "Not Eligible")</f>
        <v>Eligible</v>
      </c>
    </row>
    <row r="179">
      <c r="A179" s="6" t="s">
        <v>388</v>
      </c>
      <c r="B179" s="6" t="s">
        <v>389</v>
      </c>
      <c r="C179" s="6" t="s">
        <v>38</v>
      </c>
      <c r="D179" s="7" t="str">
        <f>VLOOKUP(C179, Dept_Lookup!$A$2:$B$17, 2, FALSE)</f>
        <v>Electronics</v>
      </c>
      <c r="E179" s="6">
        <v>77.0</v>
      </c>
      <c r="F179" s="6">
        <v>67.0</v>
      </c>
      <c r="G179" s="6">
        <v>65.0</v>
      </c>
      <c r="H179" s="8">
        <v>0.78</v>
      </c>
      <c r="I179" s="7">
        <v>45865.0</v>
      </c>
      <c r="J179" s="6" t="s">
        <v>32</v>
      </c>
      <c r="K179" s="8">
        <v>0.91</v>
      </c>
      <c r="L179" s="9">
        <f>E179*Scoring_Weights!$B$2 + F179*Scoring_Weights!$B$3 + G179*Scoring_Weights!$B$4</f>
        <v>67.5</v>
      </c>
      <c r="M179" s="6" t="str">
        <f>IF(AND(H179&gt;=(VLOOKUP(J179,Interview_Slots!$A$2:$D$5,4,FALSE)/100), L179&gt;=VLOOKUP(J179,Interview_Slots!$A$2:$D$5,3,FALSE)), "Eligible", "Not Eligible")</f>
        <v>Eligible</v>
      </c>
    </row>
    <row r="180">
      <c r="A180" s="6" t="s">
        <v>390</v>
      </c>
      <c r="B180" s="6" t="s">
        <v>391</v>
      </c>
      <c r="C180" s="6" t="s">
        <v>41</v>
      </c>
      <c r="D180" s="7" t="str">
        <f>VLOOKUP(C180, Dept_Lookup!$A$2:$B$17, 2, FALSE)</f>
        <v>Electronics</v>
      </c>
      <c r="E180" s="6">
        <v>97.0</v>
      </c>
      <c r="F180" s="6">
        <v>62.0</v>
      </c>
      <c r="G180" s="6">
        <v>91.0</v>
      </c>
      <c r="H180" s="8">
        <v>0.94</v>
      </c>
      <c r="I180" s="7">
        <v>45880.0</v>
      </c>
      <c r="J180" s="6" t="s">
        <v>17</v>
      </c>
      <c r="K180" s="8">
        <v>0.77</v>
      </c>
      <c r="L180" s="9">
        <f>E180*Scoring_Weights!$B$2 + F180*Scoring_Weights!$B$3 + G180*Scoring_Weights!$B$4</f>
        <v>81.75</v>
      </c>
      <c r="M180" s="6" t="str">
        <f>IF(AND(H180&gt;=(VLOOKUP(J180,Interview_Slots!$A$2:$D$5,4,FALSE)/100), L180&gt;=VLOOKUP(J180,Interview_Slots!$A$2:$D$5,3,FALSE)), "Eligible", "Not Eligible")</f>
        <v>Eligible</v>
      </c>
    </row>
    <row r="181">
      <c r="A181" s="6" t="s">
        <v>392</v>
      </c>
      <c r="B181" s="6" t="s">
        <v>393</v>
      </c>
      <c r="C181" s="6" t="s">
        <v>44</v>
      </c>
      <c r="D181" s="7" t="str">
        <f>VLOOKUP(C181, Dept_Lookup!$A$2:$B$17, 2, FALSE)</f>
        <v>Mechanical</v>
      </c>
      <c r="E181" s="6">
        <v>98.0</v>
      </c>
      <c r="F181" s="6">
        <v>71.0</v>
      </c>
      <c r="G181" s="6">
        <v>56.0</v>
      </c>
      <c r="H181" s="8">
        <v>0.76</v>
      </c>
      <c r="I181" s="7">
        <v>45872.0</v>
      </c>
      <c r="J181" s="6" t="s">
        <v>21</v>
      </c>
      <c r="K181" s="8">
        <v>0.82</v>
      </c>
      <c r="L181" s="9">
        <f>E181*Scoring_Weights!$B$2 + F181*Scoring_Weights!$B$3 + G181*Scoring_Weights!$B$4</f>
        <v>67.55</v>
      </c>
      <c r="M181" s="6" t="str">
        <f>IF(AND(H181&gt;=(VLOOKUP(J181,Interview_Slots!$A$2:$D$5,4,FALSE)/100), L181&gt;=VLOOKUP(J181,Interview_Slots!$A$2:$D$5,3,FALSE)), "Eligible", "Not Eligible")</f>
        <v>Not Eligible</v>
      </c>
    </row>
    <row r="182">
      <c r="A182" s="6" t="s">
        <v>394</v>
      </c>
      <c r="B182" s="6" t="s">
        <v>395</v>
      </c>
      <c r="C182" s="6" t="s">
        <v>47</v>
      </c>
      <c r="D182" s="7" t="str">
        <f>VLOOKUP(C182, Dept_Lookup!$A$2:$B$17, 2, FALSE)</f>
        <v>Mechanical</v>
      </c>
      <c r="E182" s="6">
        <v>79.0</v>
      </c>
      <c r="F182" s="6">
        <v>65.0</v>
      </c>
      <c r="G182" s="6">
        <v>86.0</v>
      </c>
      <c r="H182" s="8">
        <v>0.9</v>
      </c>
      <c r="I182" s="7">
        <v>45882.0</v>
      </c>
      <c r="J182" s="6" t="s">
        <v>32</v>
      </c>
      <c r="K182" s="8">
        <v>0.95</v>
      </c>
      <c r="L182" s="9">
        <f>E182*Scoring_Weights!$B$2 + F182*Scoring_Weights!$B$3 + G182*Scoring_Weights!$B$4</f>
        <v>77.6</v>
      </c>
      <c r="M182" s="6" t="str">
        <f>IF(AND(H182&gt;=(VLOOKUP(J182,Interview_Slots!$A$2:$D$5,4,FALSE)/100), L182&gt;=VLOOKUP(J182,Interview_Slots!$A$2:$D$5,3,FALSE)), "Eligible", "Not Eligible")</f>
        <v>Eligible</v>
      </c>
    </row>
    <row r="183">
      <c r="A183" s="6" t="s">
        <v>396</v>
      </c>
      <c r="B183" s="6" t="s">
        <v>397</v>
      </c>
      <c r="C183" s="6" t="s">
        <v>50</v>
      </c>
      <c r="D183" s="7" t="str">
        <f>VLOOKUP(C183, Dept_Lookup!$A$2:$B$17, 2, FALSE)</f>
        <v>Mechanical</v>
      </c>
      <c r="E183" s="6">
        <v>83.0</v>
      </c>
      <c r="F183" s="6">
        <v>88.0</v>
      </c>
      <c r="G183" s="6">
        <v>78.0</v>
      </c>
      <c r="H183" s="8">
        <v>0.92</v>
      </c>
      <c r="I183" s="7">
        <v>45868.0</v>
      </c>
      <c r="J183" s="6" t="s">
        <v>21</v>
      </c>
      <c r="K183" s="10">
        <v>0.69</v>
      </c>
      <c r="L183" s="9">
        <f>E183*Scoring_Weights!$B$2 + F183*Scoring_Weights!$B$3 + G183*Scoring_Weights!$B$4</f>
        <v>82.25</v>
      </c>
      <c r="M183" s="6" t="str">
        <f>IF(AND(H183&gt;=(VLOOKUP(J183,Interview_Slots!$A$2:$D$5,4,FALSE)/100), L183&gt;=VLOOKUP(J183,Interview_Slots!$A$2:$D$5,3,FALSE)), "Eligible", "Not Eligible")</f>
        <v>Eligible</v>
      </c>
    </row>
    <row r="184">
      <c r="A184" s="6" t="s">
        <v>398</v>
      </c>
      <c r="B184" s="6" t="s">
        <v>399</v>
      </c>
      <c r="C184" s="6" t="s">
        <v>53</v>
      </c>
      <c r="D184" s="7" t="str">
        <f>VLOOKUP(C184, Dept_Lookup!$A$2:$B$17, 2, FALSE)</f>
        <v>Mechanical</v>
      </c>
      <c r="E184" s="6">
        <v>84.0</v>
      </c>
      <c r="F184" s="6">
        <v>99.0</v>
      </c>
      <c r="G184" s="6">
        <v>90.0</v>
      </c>
      <c r="H184" s="8">
        <v>0.85</v>
      </c>
      <c r="I184" s="7">
        <v>45879.0</v>
      </c>
      <c r="J184" s="6" t="s">
        <v>17</v>
      </c>
      <c r="K184" s="8">
        <v>0.73</v>
      </c>
      <c r="L184" s="9">
        <f>E184*Scoring_Weights!$B$2 + F184*Scoring_Weights!$B$3 + G184*Scoring_Weights!$B$4</f>
        <v>92.25</v>
      </c>
      <c r="M184" s="6" t="str">
        <f>IF(AND(H184&gt;=(VLOOKUP(J184,Interview_Slots!$A$2:$D$5,4,FALSE)/100), L184&gt;=VLOOKUP(J184,Interview_Slots!$A$2:$D$5,3,FALSE)), "Eligible", "Not Eligible")</f>
        <v>Eligible</v>
      </c>
    </row>
    <row r="185">
      <c r="A185" s="6" t="s">
        <v>400</v>
      </c>
      <c r="B185" s="6" t="s">
        <v>401</v>
      </c>
      <c r="C185" s="6" t="s">
        <v>56</v>
      </c>
      <c r="D185" s="7" t="str">
        <f>VLOOKUP(C185, Dept_Lookup!$A$2:$B$17, 2, FALSE)</f>
        <v>Civil</v>
      </c>
      <c r="E185" s="6">
        <v>67.0</v>
      </c>
      <c r="F185" s="6">
        <v>69.0</v>
      </c>
      <c r="G185" s="6">
        <v>97.0</v>
      </c>
      <c r="H185" s="8">
        <v>0.78</v>
      </c>
      <c r="I185" s="7">
        <v>45913.0</v>
      </c>
      <c r="J185" s="6" t="s">
        <v>21</v>
      </c>
      <c r="K185" s="8">
        <v>0.73</v>
      </c>
      <c r="L185" s="9">
        <f>E185*Scoring_Weights!$B$2 + F185*Scoring_Weights!$B$3 + G185*Scoring_Weights!$B$4</f>
        <v>82.7</v>
      </c>
      <c r="M185" s="6" t="str">
        <f>IF(AND(H185&gt;=(VLOOKUP(J185,Interview_Slots!$A$2:$D$5,4,FALSE)/100), L185&gt;=VLOOKUP(J185,Interview_Slots!$A$2:$D$5,3,FALSE)), "Eligible", "Not Eligible")</f>
        <v>Not Eligible</v>
      </c>
    </row>
    <row r="186">
      <c r="A186" s="6" t="s">
        <v>402</v>
      </c>
      <c r="B186" s="6" t="s">
        <v>403</v>
      </c>
      <c r="C186" s="6" t="s">
        <v>59</v>
      </c>
      <c r="D186" s="7" t="str">
        <f>VLOOKUP(C186, Dept_Lookup!$A$2:$B$17, 2, FALSE)</f>
        <v>Civil</v>
      </c>
      <c r="E186" s="6">
        <v>63.0</v>
      </c>
      <c r="F186" s="6">
        <v>91.0</v>
      </c>
      <c r="G186" s="6">
        <v>77.0</v>
      </c>
      <c r="H186" s="8">
        <v>0.79</v>
      </c>
      <c r="I186" s="7">
        <v>45872.0</v>
      </c>
      <c r="J186" s="6" t="s">
        <v>21</v>
      </c>
      <c r="K186" s="8">
        <v>0.8</v>
      </c>
      <c r="L186" s="9">
        <f>E186*Scoring_Weights!$B$2 + F186*Scoring_Weights!$B$3 + G186*Scoring_Weights!$B$4</f>
        <v>79.8</v>
      </c>
      <c r="M186" s="6" t="str">
        <f>IF(AND(H186&gt;=(VLOOKUP(J186,Interview_Slots!$A$2:$D$5,4,FALSE)/100), L186&gt;=VLOOKUP(J186,Interview_Slots!$A$2:$D$5,3,FALSE)), "Eligible", "Not Eligible")</f>
        <v>Not Eligible</v>
      </c>
    </row>
    <row r="187">
      <c r="A187" s="6" t="s">
        <v>404</v>
      </c>
      <c r="B187" s="6" t="s">
        <v>405</v>
      </c>
      <c r="C187" s="6" t="s">
        <v>62</v>
      </c>
      <c r="D187" s="7" t="str">
        <f>VLOOKUP(C187, Dept_Lookup!$A$2:$B$17, 2, FALSE)</f>
        <v>Civil</v>
      </c>
      <c r="E187" s="6">
        <v>60.0</v>
      </c>
      <c r="F187" s="6">
        <v>82.0</v>
      </c>
      <c r="G187" s="6">
        <v>62.0</v>
      </c>
      <c r="H187" s="8">
        <v>0.77</v>
      </c>
      <c r="I187" s="7">
        <v>45887.0</v>
      </c>
      <c r="J187" s="6" t="s">
        <v>21</v>
      </c>
      <c r="K187" s="8">
        <v>0.86</v>
      </c>
      <c r="L187" s="9">
        <f>E187*Scoring_Weights!$B$2 + F187*Scoring_Weights!$B$3 + G187*Scoring_Weights!$B$4</f>
        <v>68.7</v>
      </c>
      <c r="M187" s="6" t="str">
        <f>IF(AND(H187&gt;=(VLOOKUP(J187,Interview_Slots!$A$2:$D$5,4,FALSE)/100), L187&gt;=VLOOKUP(J187,Interview_Slots!$A$2:$D$5,3,FALSE)), "Eligible", "Not Eligible")</f>
        <v>Not Eligible</v>
      </c>
    </row>
    <row r="188">
      <c r="A188" s="6" t="s">
        <v>406</v>
      </c>
      <c r="B188" s="6" t="s">
        <v>407</v>
      </c>
      <c r="C188" s="6" t="s">
        <v>16</v>
      </c>
      <c r="D188" s="7" t="str">
        <f>VLOOKUP(C188, Dept_Lookup!$A$2:$B$17, 2, FALSE)</f>
        <v>Computer Science</v>
      </c>
      <c r="E188" s="6">
        <v>58.0</v>
      </c>
      <c r="F188" s="6">
        <v>59.0</v>
      </c>
      <c r="G188" s="6">
        <v>83.0</v>
      </c>
      <c r="H188" s="8">
        <v>0.8</v>
      </c>
      <c r="I188" s="7">
        <v>45870.0</v>
      </c>
      <c r="J188" s="6" t="s">
        <v>25</v>
      </c>
      <c r="K188" s="8">
        <v>0.84</v>
      </c>
      <c r="L188" s="9">
        <f>E188*Scoring_Weights!$B$2 + F188*Scoring_Weights!$B$3 + G188*Scoring_Weights!$B$4</f>
        <v>70.85</v>
      </c>
      <c r="M188" s="6" t="str">
        <f>IF(AND(H188&gt;=(VLOOKUP(J188,Interview_Slots!$A$2:$D$5,4,FALSE)/100), L188&gt;=VLOOKUP(J188,Interview_Slots!$A$2:$D$5,3,FALSE)), "Eligible", "Not Eligible")</f>
        <v>Not Eligible</v>
      </c>
    </row>
    <row r="189">
      <c r="A189" s="6" t="s">
        <v>408</v>
      </c>
      <c r="B189" s="6" t="s">
        <v>409</v>
      </c>
      <c r="C189" s="6" t="s">
        <v>20</v>
      </c>
      <c r="D189" s="7" t="str">
        <f>VLOOKUP(C189, Dept_Lookup!$A$2:$B$17, 2, FALSE)</f>
        <v>Computer Science</v>
      </c>
      <c r="E189" s="6">
        <v>90.0</v>
      </c>
      <c r="F189" s="6">
        <v>74.0</v>
      </c>
      <c r="G189" s="6">
        <v>96.0</v>
      </c>
      <c r="H189" s="8">
        <v>0.89</v>
      </c>
      <c r="I189" s="7">
        <v>45860.0</v>
      </c>
      <c r="J189" s="6" t="s">
        <v>25</v>
      </c>
      <c r="K189" s="8">
        <v>0.99</v>
      </c>
      <c r="L189" s="9">
        <f>E189*Scoring_Weights!$B$2 + F189*Scoring_Weights!$B$3 + G189*Scoring_Weights!$B$4</f>
        <v>87.4</v>
      </c>
      <c r="M189" s="6" t="str">
        <f>IF(AND(H189&gt;=(VLOOKUP(J189,Interview_Slots!$A$2:$D$5,4,FALSE)/100), L189&gt;=VLOOKUP(J189,Interview_Slots!$A$2:$D$5,3,FALSE)), "Eligible", "Not Eligible")</f>
        <v>Eligible</v>
      </c>
    </row>
    <row r="190">
      <c r="A190" s="6" t="s">
        <v>410</v>
      </c>
      <c r="B190" s="6" t="s">
        <v>411</v>
      </c>
      <c r="C190" s="6" t="s">
        <v>24</v>
      </c>
      <c r="D190" s="7" t="str">
        <f>VLOOKUP(C190, Dept_Lookup!$A$2:$B$17, 2, FALSE)</f>
        <v>Computer Science</v>
      </c>
      <c r="E190" s="6">
        <v>73.0</v>
      </c>
      <c r="F190" s="6">
        <v>82.0</v>
      </c>
      <c r="G190" s="6">
        <v>96.0</v>
      </c>
      <c r="H190" s="8">
        <v>0.87</v>
      </c>
      <c r="I190" s="7">
        <v>45866.0</v>
      </c>
      <c r="J190" s="6" t="s">
        <v>25</v>
      </c>
      <c r="K190" s="8">
        <v>0.86</v>
      </c>
      <c r="L190" s="9">
        <f>E190*Scoring_Weights!$B$2 + F190*Scoring_Weights!$B$3 + G190*Scoring_Weights!$B$4</f>
        <v>87.65</v>
      </c>
      <c r="M190" s="6" t="str">
        <f>IF(AND(H190&gt;=(VLOOKUP(J190,Interview_Slots!$A$2:$D$5,4,FALSE)/100), L190&gt;=VLOOKUP(J190,Interview_Slots!$A$2:$D$5,3,FALSE)), "Eligible", "Not Eligible")</f>
        <v>Eligible</v>
      </c>
    </row>
    <row r="191">
      <c r="A191" s="6" t="s">
        <v>412</v>
      </c>
      <c r="B191" s="6" t="s">
        <v>413</v>
      </c>
      <c r="C191" s="6" t="s">
        <v>28</v>
      </c>
      <c r="D191" s="7" t="str">
        <f>VLOOKUP(C191, Dept_Lookup!$A$2:$B$17, 2, FALSE)</f>
        <v>Computer Science</v>
      </c>
      <c r="E191" s="6">
        <v>66.0</v>
      </c>
      <c r="F191" s="6">
        <v>71.0</v>
      </c>
      <c r="G191" s="6">
        <v>56.0</v>
      </c>
      <c r="H191" s="8">
        <v>0.83</v>
      </c>
      <c r="I191" s="7">
        <v>45877.0</v>
      </c>
      <c r="J191" s="6" t="s">
        <v>17</v>
      </c>
      <c r="K191" s="8">
        <v>0.82</v>
      </c>
      <c r="L191" s="9">
        <f>E191*Scoring_Weights!$B$2 + F191*Scoring_Weights!$B$3 + G191*Scoring_Weights!$B$4</f>
        <v>62.75</v>
      </c>
      <c r="M191" s="6" t="str">
        <f>IF(AND(H191&gt;=(VLOOKUP(J191,Interview_Slots!$A$2:$D$5,4,FALSE)/100), L191&gt;=VLOOKUP(J191,Interview_Slots!$A$2:$D$5,3,FALSE)), "Eligible", "Not Eligible")</f>
        <v>Eligible</v>
      </c>
    </row>
    <row r="192">
      <c r="A192" s="6" t="s">
        <v>414</v>
      </c>
      <c r="B192" s="6" t="s">
        <v>415</v>
      </c>
      <c r="C192" s="6" t="s">
        <v>31</v>
      </c>
      <c r="D192" s="7" t="str">
        <f>VLOOKUP(C192, Dept_Lookup!$A$2:$B$17, 2, FALSE)</f>
        <v>Electronics</v>
      </c>
      <c r="E192" s="6">
        <v>71.0</v>
      </c>
      <c r="F192" s="6">
        <v>61.0</v>
      </c>
      <c r="G192" s="6">
        <v>77.0</v>
      </c>
      <c r="H192" s="8">
        <v>0.87</v>
      </c>
      <c r="I192" s="7">
        <v>45842.0</v>
      </c>
      <c r="J192" s="6" t="s">
        <v>32</v>
      </c>
      <c r="K192" s="8">
        <v>0.91</v>
      </c>
      <c r="L192" s="9">
        <f>E192*Scoring_Weights!$B$2 + F192*Scoring_Weights!$B$3 + G192*Scoring_Weights!$B$4</f>
        <v>70.5</v>
      </c>
      <c r="M192" s="6" t="str">
        <f>IF(AND(H192&gt;=(VLOOKUP(J192,Interview_Slots!$A$2:$D$5,4,FALSE)/100), L192&gt;=VLOOKUP(J192,Interview_Slots!$A$2:$D$5,3,FALSE)), "Eligible", "Not Eligible")</f>
        <v>Eligible</v>
      </c>
    </row>
    <row r="193">
      <c r="A193" s="6" t="s">
        <v>416</v>
      </c>
      <c r="B193" s="6" t="s">
        <v>417</v>
      </c>
      <c r="C193" s="6" t="s">
        <v>35</v>
      </c>
      <c r="D193" s="7" t="str">
        <f>VLOOKUP(C193, Dept_Lookup!$A$2:$B$17, 2, FALSE)</f>
        <v>Electronics</v>
      </c>
      <c r="E193" s="6">
        <v>72.0</v>
      </c>
      <c r="F193" s="6">
        <v>85.0</v>
      </c>
      <c r="G193" s="6">
        <v>91.0</v>
      </c>
      <c r="H193" s="8">
        <v>0.89</v>
      </c>
      <c r="I193" s="7">
        <v>45872.0</v>
      </c>
      <c r="J193" s="6" t="s">
        <v>17</v>
      </c>
      <c r="K193" s="8">
        <v>0.92</v>
      </c>
      <c r="L193" s="9">
        <f>E193*Scoring_Weights!$B$2 + F193*Scoring_Weights!$B$3 + G193*Scoring_Weights!$B$4</f>
        <v>86.05</v>
      </c>
      <c r="M193" s="6" t="str">
        <f>IF(AND(H193&gt;=(VLOOKUP(J193,Interview_Slots!$A$2:$D$5,4,FALSE)/100), L193&gt;=VLOOKUP(J193,Interview_Slots!$A$2:$D$5,3,FALSE)), "Eligible", "Not Eligible")</f>
        <v>Eligible</v>
      </c>
    </row>
    <row r="194">
      <c r="A194" s="6" t="s">
        <v>418</v>
      </c>
      <c r="B194" s="6" t="s">
        <v>419</v>
      </c>
      <c r="C194" s="6" t="s">
        <v>38</v>
      </c>
      <c r="D194" s="7" t="str">
        <f>VLOOKUP(C194, Dept_Lookup!$A$2:$B$17, 2, FALSE)</f>
        <v>Electronics</v>
      </c>
      <c r="E194" s="6">
        <v>63.0</v>
      </c>
      <c r="F194" s="6">
        <v>58.0</v>
      </c>
      <c r="G194" s="6">
        <v>87.0</v>
      </c>
      <c r="H194" s="8">
        <v>0.93</v>
      </c>
      <c r="I194" s="11">
        <v>45898.0</v>
      </c>
      <c r="J194" s="6" t="s">
        <v>21</v>
      </c>
      <c r="K194" s="8">
        <v>0.8</v>
      </c>
      <c r="L194" s="9">
        <f>E194*Scoring_Weights!$B$2 + F194*Scoring_Weights!$B$3 + G194*Scoring_Weights!$B$4</f>
        <v>73.25</v>
      </c>
      <c r="M194" s="6" t="str">
        <f>IF(AND(H194&gt;=(VLOOKUP(J194,Interview_Slots!$A$2:$D$5,4,FALSE)/100), L194&gt;=VLOOKUP(J194,Interview_Slots!$A$2:$D$5,3,FALSE)), "Eligible", "Not Eligible")</f>
        <v>Eligible</v>
      </c>
    </row>
    <row r="195">
      <c r="A195" s="6" t="s">
        <v>420</v>
      </c>
      <c r="B195" s="6" t="s">
        <v>421</v>
      </c>
      <c r="C195" s="6" t="s">
        <v>41</v>
      </c>
      <c r="D195" s="7" t="str">
        <f>VLOOKUP(C195, Dept_Lookup!$A$2:$B$17, 2, FALSE)</f>
        <v>Electronics</v>
      </c>
      <c r="E195" s="6">
        <v>59.0</v>
      </c>
      <c r="F195" s="6">
        <v>87.0</v>
      </c>
      <c r="G195" s="6">
        <v>64.0</v>
      </c>
      <c r="H195" s="8">
        <v>0.85</v>
      </c>
      <c r="I195" s="7">
        <v>45865.0</v>
      </c>
      <c r="J195" s="6" t="s">
        <v>32</v>
      </c>
      <c r="K195" s="8">
        <v>0.8</v>
      </c>
      <c r="L195" s="9">
        <f>E195*Scoring_Weights!$B$2 + F195*Scoring_Weights!$B$3 + G195*Scoring_Weights!$B$4</f>
        <v>71.3</v>
      </c>
      <c r="M195" s="6" t="str">
        <f>IF(AND(H195&gt;=(VLOOKUP(J195,Interview_Slots!$A$2:$D$5,4,FALSE)/100), L195&gt;=VLOOKUP(J195,Interview_Slots!$A$2:$D$5,3,FALSE)), "Eligible", "Not Eligible")</f>
        <v>Eligible</v>
      </c>
    </row>
    <row r="196">
      <c r="A196" s="6" t="s">
        <v>422</v>
      </c>
      <c r="B196" s="6" t="s">
        <v>423</v>
      </c>
      <c r="C196" s="6" t="s">
        <v>44</v>
      </c>
      <c r="D196" s="7" t="str">
        <f>VLOOKUP(C196, Dept_Lookup!$A$2:$B$17, 2, FALSE)</f>
        <v>Mechanical</v>
      </c>
      <c r="E196" s="6">
        <v>77.0</v>
      </c>
      <c r="F196" s="6">
        <v>84.0</v>
      </c>
      <c r="G196" s="6">
        <v>81.0</v>
      </c>
      <c r="H196" s="8">
        <v>0.85</v>
      </c>
      <c r="I196" s="7">
        <v>45872.0</v>
      </c>
      <c r="J196" s="6" t="s">
        <v>25</v>
      </c>
      <c r="K196" s="8">
        <v>0.83</v>
      </c>
      <c r="L196" s="9">
        <f>E196*Scoring_Weights!$B$2 + F196*Scoring_Weights!$B$3 + G196*Scoring_Weights!$B$4</f>
        <v>81.45</v>
      </c>
      <c r="M196" s="6" t="str">
        <f>IF(AND(H196&gt;=(VLOOKUP(J196,Interview_Slots!$A$2:$D$5,4,FALSE)/100), L196&gt;=VLOOKUP(J196,Interview_Slots!$A$2:$D$5,3,FALSE)), "Eligible", "Not Eligible")</f>
        <v>Eligible</v>
      </c>
    </row>
    <row r="197">
      <c r="A197" s="6" t="s">
        <v>424</v>
      </c>
      <c r="B197" s="6" t="s">
        <v>425</v>
      </c>
      <c r="C197" s="6" t="s">
        <v>47</v>
      </c>
      <c r="D197" s="7" t="str">
        <f>VLOOKUP(C197, Dept_Lookup!$A$2:$B$17, 2, FALSE)</f>
        <v>Mechanical</v>
      </c>
      <c r="E197" s="6">
        <v>67.0</v>
      </c>
      <c r="F197" s="6">
        <v>88.0</v>
      </c>
      <c r="G197" s="6">
        <v>72.0</v>
      </c>
      <c r="H197" s="8">
        <v>0.85</v>
      </c>
      <c r="I197" s="7">
        <v>45887.0</v>
      </c>
      <c r="J197" s="6" t="s">
        <v>17</v>
      </c>
      <c r="K197" s="8">
        <v>0.78</v>
      </c>
      <c r="L197" s="9">
        <f>E197*Scoring_Weights!$B$2 + F197*Scoring_Weights!$B$3 + G197*Scoring_Weights!$B$4</f>
        <v>76.85</v>
      </c>
      <c r="M197" s="6" t="str">
        <f>IF(AND(H197&gt;=(VLOOKUP(J197,Interview_Slots!$A$2:$D$5,4,FALSE)/100), L197&gt;=VLOOKUP(J197,Interview_Slots!$A$2:$D$5,3,FALSE)), "Eligible", "Not Eligible")</f>
        <v>Eligible</v>
      </c>
    </row>
    <row r="198">
      <c r="A198" s="6" t="s">
        <v>426</v>
      </c>
      <c r="B198" s="6" t="s">
        <v>427</v>
      </c>
      <c r="C198" s="6" t="s">
        <v>50</v>
      </c>
      <c r="D198" s="7" t="str">
        <f>VLOOKUP(C198, Dept_Lookup!$A$2:$B$17, 2, FALSE)</f>
        <v>Mechanical</v>
      </c>
      <c r="E198" s="6">
        <v>96.0</v>
      </c>
      <c r="F198" s="6">
        <v>88.0</v>
      </c>
      <c r="G198" s="6">
        <v>92.0</v>
      </c>
      <c r="H198" s="8">
        <v>0.75</v>
      </c>
      <c r="I198" s="7">
        <v>45878.0</v>
      </c>
      <c r="J198" s="6" t="s">
        <v>21</v>
      </c>
      <c r="K198" s="8">
        <v>0.8</v>
      </c>
      <c r="L198" s="9">
        <f>E198*Scoring_Weights!$B$2 + F198*Scoring_Weights!$B$3 + G198*Scoring_Weights!$B$4</f>
        <v>91.2</v>
      </c>
      <c r="M198" s="6" t="str">
        <f>IF(AND(H198&gt;=(VLOOKUP(J198,Interview_Slots!$A$2:$D$5,4,FALSE)/100), L198&gt;=VLOOKUP(J198,Interview_Slots!$A$2:$D$5,3,FALSE)), "Eligible", "Not Eligible")</f>
        <v>Not Eligible</v>
      </c>
    </row>
    <row r="199">
      <c r="A199" s="6" t="s">
        <v>428</v>
      </c>
      <c r="B199" s="6" t="s">
        <v>429</v>
      </c>
      <c r="C199" s="6" t="s">
        <v>53</v>
      </c>
      <c r="D199" s="7" t="str">
        <f>VLOOKUP(C199, Dept_Lookup!$A$2:$B$17, 2, FALSE)</f>
        <v>Mechanical</v>
      </c>
      <c r="E199" s="6">
        <v>59.0</v>
      </c>
      <c r="F199" s="6">
        <v>65.0</v>
      </c>
      <c r="G199" s="6">
        <v>93.0</v>
      </c>
      <c r="H199" s="8">
        <v>0.77</v>
      </c>
      <c r="I199" s="7">
        <v>45929.0</v>
      </c>
      <c r="J199" s="6" t="s">
        <v>21</v>
      </c>
      <c r="K199" s="8">
        <v>0.8</v>
      </c>
      <c r="L199" s="9">
        <f>E199*Scoring_Weights!$B$2 + F199*Scoring_Weights!$B$3 + G199*Scoring_Weights!$B$4</f>
        <v>78.1</v>
      </c>
      <c r="M199" s="6" t="str">
        <f>IF(AND(H199&gt;=(VLOOKUP(J199,Interview_Slots!$A$2:$D$5,4,FALSE)/100), L199&gt;=VLOOKUP(J199,Interview_Slots!$A$2:$D$5,3,FALSE)), "Eligible", "Not Eligible")</f>
        <v>Not Eligible</v>
      </c>
    </row>
    <row r="200">
      <c r="A200" s="6" t="s">
        <v>430</v>
      </c>
      <c r="B200" s="6" t="s">
        <v>431</v>
      </c>
      <c r="C200" s="6" t="s">
        <v>56</v>
      </c>
      <c r="D200" s="7" t="str">
        <f>VLOOKUP(C200, Dept_Lookup!$A$2:$B$17, 2, FALSE)</f>
        <v>Civil</v>
      </c>
      <c r="E200" s="6">
        <v>68.0</v>
      </c>
      <c r="F200" s="6">
        <v>83.0</v>
      </c>
      <c r="G200" s="6">
        <v>98.0</v>
      </c>
      <c r="H200" s="8">
        <v>0.83</v>
      </c>
      <c r="I200" s="7">
        <v>45860.0</v>
      </c>
      <c r="J200" s="6" t="s">
        <v>21</v>
      </c>
      <c r="K200" s="8">
        <v>0.9</v>
      </c>
      <c r="L200" s="9">
        <f>E200*Scoring_Weights!$B$2 + F200*Scoring_Weights!$B$3 + G200*Scoring_Weights!$B$4</f>
        <v>88.25</v>
      </c>
      <c r="M200" s="6" t="str">
        <f>IF(AND(H200&gt;=(VLOOKUP(J200,Interview_Slots!$A$2:$D$5,4,FALSE)/100), L200&gt;=VLOOKUP(J200,Interview_Slots!$A$2:$D$5,3,FALSE)), "Eligible", "Not Eligible")</f>
        <v>Eligible</v>
      </c>
    </row>
    <row r="201">
      <c r="A201" s="6" t="s">
        <v>432</v>
      </c>
      <c r="B201" s="6" t="s">
        <v>433</v>
      </c>
      <c r="C201" s="6" t="s">
        <v>59</v>
      </c>
      <c r="D201" s="7" t="str">
        <f>VLOOKUP(C201, Dept_Lookup!$A$2:$B$17, 2, FALSE)</f>
        <v>Civil</v>
      </c>
      <c r="E201" s="6">
        <v>93.0</v>
      </c>
      <c r="F201" s="6">
        <v>60.0</v>
      </c>
      <c r="G201" s="6">
        <v>95.0</v>
      </c>
      <c r="H201" s="8">
        <v>0.75</v>
      </c>
      <c r="I201" s="7">
        <v>45913.0</v>
      </c>
      <c r="J201" s="6" t="s">
        <v>25</v>
      </c>
      <c r="K201" s="8">
        <v>0.75</v>
      </c>
      <c r="L201" s="9">
        <f>E201*Scoring_Weights!$B$2 + F201*Scoring_Weights!$B$3 + G201*Scoring_Weights!$B$4</f>
        <v>82.45</v>
      </c>
      <c r="M201" s="6" t="str">
        <f>IF(AND(H201&gt;=(VLOOKUP(J201,Interview_Slots!$A$2:$D$5,4,FALSE)/100), L201&gt;=VLOOKUP(J201,Interview_Slots!$A$2:$D$5,3,FALSE)), "Eligible", "Not Eligible")</f>
        <v>Not Eligible</v>
      </c>
    </row>
    <row r="202">
      <c r="A202" s="6" t="s">
        <v>434</v>
      </c>
      <c r="B202" s="6" t="s">
        <v>435</v>
      </c>
      <c r="C202" s="6" t="s">
        <v>62</v>
      </c>
      <c r="D202" s="7" t="str">
        <f>VLOOKUP(C202, Dept_Lookup!$A$2:$B$17, 2, FALSE)</f>
        <v>Civil</v>
      </c>
      <c r="E202" s="6">
        <v>77.0</v>
      </c>
      <c r="F202" s="6">
        <v>82.0</v>
      </c>
      <c r="G202" s="6">
        <v>89.0</v>
      </c>
      <c r="H202" s="8">
        <v>0.8</v>
      </c>
      <c r="I202" s="7">
        <v>45900.0</v>
      </c>
      <c r="J202" s="6" t="s">
        <v>25</v>
      </c>
      <c r="K202" s="8">
        <v>0.91</v>
      </c>
      <c r="L202" s="9">
        <f>E202*Scoring_Weights!$B$2 + F202*Scoring_Weights!$B$3 + G202*Scoring_Weights!$B$4</f>
        <v>84.75</v>
      </c>
      <c r="M202" s="6" t="str">
        <f>IF(AND(H202&gt;=(VLOOKUP(J202,Interview_Slots!$A$2:$D$5,4,FALSE)/100), L202&gt;=VLOOKUP(J202,Interview_Slots!$A$2:$D$5,3,FALSE)), "Eligible", "Not Eligible")</f>
        <v>Not Eligible</v>
      </c>
    </row>
    <row r="203">
      <c r="A203" s="6" t="s">
        <v>436</v>
      </c>
      <c r="B203" s="6" t="s">
        <v>437</v>
      </c>
      <c r="C203" s="6" t="s">
        <v>65</v>
      </c>
      <c r="D203" s="7" t="str">
        <f>VLOOKUP(C203, Dept_Lookup!$A$2:$B$17, 2, FALSE)</f>
        <v>Civil</v>
      </c>
      <c r="E203" s="6">
        <v>65.0</v>
      </c>
      <c r="F203" s="6">
        <v>76.0</v>
      </c>
      <c r="G203" s="6">
        <v>72.0</v>
      </c>
      <c r="H203" s="8">
        <v>0.88</v>
      </c>
      <c r="I203" s="7">
        <v>45870.0</v>
      </c>
      <c r="J203" s="6" t="s">
        <v>25</v>
      </c>
      <c r="K203" s="8">
        <v>0.84</v>
      </c>
      <c r="L203" s="9">
        <f>E203*Scoring_Weights!$B$2 + F203*Scoring_Weights!$B$3 + G203*Scoring_Weights!$B$4</f>
        <v>72.35</v>
      </c>
      <c r="M203" s="6" t="str">
        <f>IF(AND(H203&gt;=(VLOOKUP(J203,Interview_Slots!$A$2:$D$5,4,FALSE)/100), L203&gt;=VLOOKUP(J203,Interview_Slots!$A$2:$D$5,3,FALSE)), "Eligible", "Not Eligible")</f>
        <v>Not Eligible</v>
      </c>
    </row>
    <row r="204">
      <c r="A204" s="6" t="s">
        <v>438</v>
      </c>
      <c r="B204" s="6" t="s">
        <v>439</v>
      </c>
      <c r="C204" s="6" t="s">
        <v>16</v>
      </c>
      <c r="D204" s="7" t="str">
        <f>VLOOKUP(C204, Dept_Lookup!$A$2:$B$17, 2, FALSE)</f>
        <v>Computer Science</v>
      </c>
      <c r="E204" s="6">
        <v>67.0</v>
      </c>
      <c r="F204" s="6">
        <v>94.0</v>
      </c>
      <c r="G204" s="6">
        <v>90.0</v>
      </c>
      <c r="H204" s="8">
        <v>0.83</v>
      </c>
      <c r="I204" s="7">
        <v>45872.0</v>
      </c>
      <c r="J204" s="6" t="s">
        <v>17</v>
      </c>
      <c r="K204" s="8">
        <v>0.82</v>
      </c>
      <c r="L204" s="9">
        <f>E204*Scoring_Weights!$B$2 + F204*Scoring_Weights!$B$3 + G204*Scoring_Weights!$B$4</f>
        <v>87.95</v>
      </c>
      <c r="M204" s="6" t="str">
        <f>IF(AND(H204&gt;=(VLOOKUP(J204,Interview_Slots!$A$2:$D$5,4,FALSE)/100), L204&gt;=VLOOKUP(J204,Interview_Slots!$A$2:$D$5,3,FALSE)), "Eligible", "Not Eligible")</f>
        <v>Eligible</v>
      </c>
    </row>
    <row r="205">
      <c r="A205" s="6" t="s">
        <v>440</v>
      </c>
      <c r="B205" s="6" t="s">
        <v>441</v>
      </c>
      <c r="C205" s="6" t="s">
        <v>20</v>
      </c>
      <c r="D205" s="7" t="str">
        <f>VLOOKUP(C205, Dept_Lookup!$A$2:$B$17, 2, FALSE)</f>
        <v>Computer Science</v>
      </c>
      <c r="E205" s="6">
        <v>60.0</v>
      </c>
      <c r="F205" s="6">
        <v>84.0</v>
      </c>
      <c r="G205" s="6">
        <v>64.0</v>
      </c>
      <c r="H205" s="8">
        <v>0.87</v>
      </c>
      <c r="I205" s="7">
        <v>45877.0</v>
      </c>
      <c r="J205" s="6" t="s">
        <v>32</v>
      </c>
      <c r="K205" s="8">
        <v>0.78</v>
      </c>
      <c r="L205" s="9">
        <f>E205*Scoring_Weights!$B$2 + F205*Scoring_Weights!$B$3 + G205*Scoring_Weights!$B$4</f>
        <v>70.4</v>
      </c>
      <c r="M205" s="6" t="str">
        <f>IF(AND(H205&gt;=(VLOOKUP(J205,Interview_Slots!$A$2:$D$5,4,FALSE)/100), L205&gt;=VLOOKUP(J205,Interview_Slots!$A$2:$D$5,3,FALSE)), "Eligible", "Not Eligible")</f>
        <v>Eligible</v>
      </c>
    </row>
    <row r="206">
      <c r="A206" s="6" t="s">
        <v>442</v>
      </c>
      <c r="B206" s="6" t="s">
        <v>443</v>
      </c>
      <c r="C206" s="6" t="s">
        <v>24</v>
      </c>
      <c r="D206" s="7" t="str">
        <f>VLOOKUP(C206, Dept_Lookup!$A$2:$B$17, 2, FALSE)</f>
        <v>Computer Science</v>
      </c>
      <c r="E206" s="6">
        <v>67.0</v>
      </c>
      <c r="F206" s="6">
        <v>83.0</v>
      </c>
      <c r="G206" s="6">
        <v>73.0</v>
      </c>
      <c r="H206" s="8">
        <v>0.9</v>
      </c>
      <c r="I206" s="7">
        <v>45870.0</v>
      </c>
      <c r="J206" s="6" t="s">
        <v>17</v>
      </c>
      <c r="K206" s="8">
        <v>0.89</v>
      </c>
      <c r="L206" s="9">
        <f>E206*Scoring_Weights!$B$2 + F206*Scoring_Weights!$B$3 + G206*Scoring_Weights!$B$4</f>
        <v>75.6</v>
      </c>
      <c r="M206" s="6" t="str">
        <f>IF(AND(H206&gt;=(VLOOKUP(J206,Interview_Slots!$A$2:$D$5,4,FALSE)/100), L206&gt;=VLOOKUP(J206,Interview_Slots!$A$2:$D$5,3,FALSE)), "Eligible", "Not Eligible")</f>
        <v>Eligible</v>
      </c>
    </row>
    <row r="207">
      <c r="A207" s="6" t="s">
        <v>444</v>
      </c>
      <c r="B207" s="6" t="s">
        <v>445</v>
      </c>
      <c r="C207" s="6" t="s">
        <v>28</v>
      </c>
      <c r="D207" s="7" t="str">
        <f>VLOOKUP(C207, Dept_Lookup!$A$2:$B$17, 2, FALSE)</f>
        <v>Computer Science</v>
      </c>
      <c r="E207" s="6">
        <v>72.0</v>
      </c>
      <c r="F207" s="6">
        <v>73.0</v>
      </c>
      <c r="G207" s="6">
        <v>82.0</v>
      </c>
      <c r="H207" s="8">
        <v>0.83</v>
      </c>
      <c r="I207" s="7">
        <v>45854.0</v>
      </c>
      <c r="J207" s="6" t="s">
        <v>21</v>
      </c>
      <c r="K207" s="8">
        <v>0.93</v>
      </c>
      <c r="L207" s="9">
        <f>E207*Scoring_Weights!$B$2 + F207*Scoring_Weights!$B$3 + G207*Scoring_Weights!$B$4</f>
        <v>77.35</v>
      </c>
      <c r="M207" s="6" t="str">
        <f>IF(AND(H207&gt;=(VLOOKUP(J207,Interview_Slots!$A$2:$D$5,4,FALSE)/100), L207&gt;=VLOOKUP(J207,Interview_Slots!$A$2:$D$5,3,FALSE)), "Eligible", "Not Eligible")</f>
        <v>Eligible</v>
      </c>
    </row>
    <row r="208">
      <c r="A208" s="6" t="s">
        <v>446</v>
      </c>
      <c r="B208" s="6" t="s">
        <v>447</v>
      </c>
      <c r="C208" s="6" t="s">
        <v>31</v>
      </c>
      <c r="D208" s="7" t="str">
        <f>VLOOKUP(C208, Dept_Lookup!$A$2:$B$17, 2, FALSE)</f>
        <v>Electronics</v>
      </c>
      <c r="E208" s="6">
        <v>57.0</v>
      </c>
      <c r="F208" s="6">
        <v>85.0</v>
      </c>
      <c r="G208" s="6">
        <v>81.0</v>
      </c>
      <c r="H208" s="8">
        <v>0.86</v>
      </c>
      <c r="I208" s="7">
        <v>45913.0</v>
      </c>
      <c r="J208" s="6" t="s">
        <v>32</v>
      </c>
      <c r="K208" s="8">
        <v>0.83</v>
      </c>
      <c r="L208" s="9">
        <f>E208*Scoring_Weights!$B$2 + F208*Scoring_Weights!$B$3 + G208*Scoring_Weights!$B$4</f>
        <v>78.8</v>
      </c>
      <c r="M208" s="6" t="str">
        <f>IF(AND(H208&gt;=(VLOOKUP(J208,Interview_Slots!$A$2:$D$5,4,FALSE)/100), L208&gt;=VLOOKUP(J208,Interview_Slots!$A$2:$D$5,3,FALSE)), "Eligible", "Not Eligible")</f>
        <v>Eligible</v>
      </c>
    </row>
    <row r="209">
      <c r="A209" s="6" t="s">
        <v>448</v>
      </c>
      <c r="B209" s="6" t="s">
        <v>449</v>
      </c>
      <c r="C209" s="6" t="s">
        <v>35</v>
      </c>
      <c r="D209" s="7" t="str">
        <f>VLOOKUP(C209, Dept_Lookup!$A$2:$B$17, 2, FALSE)</f>
        <v>Electronics</v>
      </c>
      <c r="E209" s="6">
        <v>97.0</v>
      </c>
      <c r="F209" s="6">
        <v>70.0</v>
      </c>
      <c r="G209" s="6">
        <v>88.0</v>
      </c>
      <c r="H209" s="8">
        <v>0.92</v>
      </c>
      <c r="I209" s="7">
        <v>45865.0</v>
      </c>
      <c r="J209" s="6" t="s">
        <v>32</v>
      </c>
      <c r="K209" s="8">
        <v>0.89</v>
      </c>
      <c r="L209" s="9">
        <f>E209*Scoring_Weights!$B$2 + F209*Scoring_Weights!$B$3 + G209*Scoring_Weights!$B$4</f>
        <v>83.05</v>
      </c>
      <c r="M209" s="6" t="str">
        <f>IF(AND(H209&gt;=(VLOOKUP(J209,Interview_Slots!$A$2:$D$5,4,FALSE)/100), L209&gt;=VLOOKUP(J209,Interview_Slots!$A$2:$D$5,3,FALSE)), "Eligible", "Not Eligible")</f>
        <v>Eligible</v>
      </c>
    </row>
    <row r="210">
      <c r="A210" s="6" t="s">
        <v>450</v>
      </c>
      <c r="B210" s="6" t="s">
        <v>451</v>
      </c>
      <c r="C210" s="6" t="s">
        <v>38</v>
      </c>
      <c r="D210" s="7" t="str">
        <f>VLOOKUP(C210, Dept_Lookup!$A$2:$B$17, 2, FALSE)</f>
        <v>Electronics</v>
      </c>
      <c r="E210" s="6">
        <v>71.0</v>
      </c>
      <c r="F210" s="6">
        <v>88.0</v>
      </c>
      <c r="G210" s="6">
        <v>88.0</v>
      </c>
      <c r="H210" s="8">
        <v>0.92</v>
      </c>
      <c r="I210" s="7">
        <v>45878.0</v>
      </c>
      <c r="J210" s="6" t="s">
        <v>17</v>
      </c>
      <c r="K210" s="8">
        <v>0.83</v>
      </c>
      <c r="L210" s="9">
        <f>E210*Scoring_Weights!$B$2 + F210*Scoring_Weights!$B$3 + G210*Scoring_Weights!$B$4</f>
        <v>85.45</v>
      </c>
      <c r="M210" s="6" t="str">
        <f>IF(AND(H210&gt;=(VLOOKUP(J210,Interview_Slots!$A$2:$D$5,4,FALSE)/100), L210&gt;=VLOOKUP(J210,Interview_Slots!$A$2:$D$5,3,FALSE)), "Eligible", "Not Eligible")</f>
        <v>Eligible</v>
      </c>
    </row>
    <row r="211">
      <c r="A211" s="6" t="s">
        <v>452</v>
      </c>
      <c r="B211" s="6" t="s">
        <v>453</v>
      </c>
      <c r="C211" s="6" t="s">
        <v>41</v>
      </c>
      <c r="D211" s="7" t="str">
        <f>VLOOKUP(C211, Dept_Lookup!$A$2:$B$17, 2, FALSE)</f>
        <v>Electronics</v>
      </c>
      <c r="E211" s="6">
        <v>60.0</v>
      </c>
      <c r="F211" s="6">
        <v>71.0</v>
      </c>
      <c r="G211" s="6">
        <v>97.0</v>
      </c>
      <c r="H211" s="8">
        <v>0.75</v>
      </c>
      <c r="I211" s="7">
        <v>45893.0</v>
      </c>
      <c r="J211" s="6" t="s">
        <v>21</v>
      </c>
      <c r="K211" s="8">
        <v>0.84</v>
      </c>
      <c r="L211" s="9">
        <f>E211*Scoring_Weights!$B$2 + F211*Scoring_Weights!$B$3 + G211*Scoring_Weights!$B$4</f>
        <v>82.35</v>
      </c>
      <c r="M211" s="6" t="str">
        <f>IF(AND(H211&gt;=(VLOOKUP(J211,Interview_Slots!$A$2:$D$5,4,FALSE)/100), L211&gt;=VLOOKUP(J211,Interview_Slots!$A$2:$D$5,3,FALSE)), "Eligible", "Not Eligible")</f>
        <v>Not Eligible</v>
      </c>
    </row>
    <row r="212">
      <c r="A212" s="6" t="s">
        <v>454</v>
      </c>
      <c r="B212" s="6" t="s">
        <v>455</v>
      </c>
      <c r="C212" s="6" t="s">
        <v>44</v>
      </c>
      <c r="D212" s="7" t="str">
        <f>VLOOKUP(C212, Dept_Lookup!$A$2:$B$17, 2, FALSE)</f>
        <v>Mechanical</v>
      </c>
      <c r="E212" s="6">
        <v>73.0</v>
      </c>
      <c r="F212" s="6">
        <v>98.0</v>
      </c>
      <c r="G212" s="6">
        <v>69.0</v>
      </c>
      <c r="H212" s="8">
        <v>0.89</v>
      </c>
      <c r="I212" s="7">
        <v>45854.0</v>
      </c>
      <c r="J212" s="6" t="s">
        <v>21</v>
      </c>
      <c r="K212" s="8">
        <v>0.85</v>
      </c>
      <c r="L212" s="9">
        <f>E212*Scoring_Weights!$B$2 + F212*Scoring_Weights!$B$3 + G212*Scoring_Weights!$B$4</f>
        <v>79.75</v>
      </c>
      <c r="M212" s="6" t="str">
        <f>IF(AND(H212&gt;=(VLOOKUP(J212,Interview_Slots!$A$2:$D$5,4,FALSE)/100), L212&gt;=VLOOKUP(J212,Interview_Slots!$A$2:$D$5,3,FALSE)), "Eligible", "Not Eligible")</f>
        <v>Eligible</v>
      </c>
    </row>
    <row r="213">
      <c r="A213" s="6" t="s">
        <v>456</v>
      </c>
      <c r="B213" s="6" t="s">
        <v>457</v>
      </c>
      <c r="C213" s="6" t="s">
        <v>47</v>
      </c>
      <c r="D213" s="7" t="str">
        <f>VLOOKUP(C213, Dept_Lookup!$A$2:$B$17, 2, FALSE)</f>
        <v>Mechanical</v>
      </c>
      <c r="E213" s="6">
        <v>89.0</v>
      </c>
      <c r="F213" s="6">
        <v>79.0</v>
      </c>
      <c r="G213" s="6">
        <v>91.0</v>
      </c>
      <c r="H213" s="8">
        <v>0.8</v>
      </c>
      <c r="I213" s="7">
        <v>45900.0</v>
      </c>
      <c r="J213" s="6" t="s">
        <v>21</v>
      </c>
      <c r="K213" s="8">
        <v>0.99</v>
      </c>
      <c r="L213" s="9">
        <f>E213*Scoring_Weights!$B$2 + F213*Scoring_Weights!$B$3 + G213*Scoring_Weights!$B$4</f>
        <v>86.5</v>
      </c>
      <c r="M213" s="6" t="str">
        <f>IF(AND(H213&gt;=(VLOOKUP(J213,Interview_Slots!$A$2:$D$5,4,FALSE)/100), L213&gt;=VLOOKUP(J213,Interview_Slots!$A$2:$D$5,3,FALSE)), "Eligible", "Not Eligible")</f>
        <v>Eligible</v>
      </c>
    </row>
    <row r="214">
      <c r="A214" s="6" t="s">
        <v>458</v>
      </c>
      <c r="B214" s="6" t="s">
        <v>459</v>
      </c>
      <c r="C214" s="6" t="s">
        <v>50</v>
      </c>
      <c r="D214" s="7" t="str">
        <f>VLOOKUP(C214, Dept_Lookup!$A$2:$B$17, 2, FALSE)</f>
        <v>Mechanical</v>
      </c>
      <c r="E214" s="6">
        <v>74.0</v>
      </c>
      <c r="F214" s="6">
        <v>62.0</v>
      </c>
      <c r="G214" s="6">
        <v>96.0</v>
      </c>
      <c r="H214" s="8">
        <v>0.92</v>
      </c>
      <c r="I214" s="7">
        <v>45913.0</v>
      </c>
      <c r="J214" s="6" t="s">
        <v>25</v>
      </c>
      <c r="K214" s="8">
        <v>0.73</v>
      </c>
      <c r="L214" s="9">
        <f>E214*Scoring_Weights!$B$2 + F214*Scoring_Weights!$B$3 + G214*Scoring_Weights!$B$4</f>
        <v>80.8</v>
      </c>
      <c r="M214" s="6" t="str">
        <f>IF(AND(H214&gt;=(VLOOKUP(J214,Interview_Slots!$A$2:$D$5,4,FALSE)/100), L214&gt;=VLOOKUP(J214,Interview_Slots!$A$2:$D$5,3,FALSE)), "Eligible", "Not Eligible")</f>
        <v>Eligible</v>
      </c>
    </row>
    <row r="215">
      <c r="A215" s="6" t="s">
        <v>460</v>
      </c>
      <c r="B215" s="6" t="s">
        <v>461</v>
      </c>
      <c r="C215" s="6" t="s">
        <v>53</v>
      </c>
      <c r="D215" s="7" t="str">
        <f>VLOOKUP(C215, Dept_Lookup!$A$2:$B$17, 2, FALSE)</f>
        <v>Mechanical</v>
      </c>
      <c r="E215" s="6">
        <v>78.0</v>
      </c>
      <c r="F215" s="6">
        <v>93.0</v>
      </c>
      <c r="G215" s="6">
        <v>98.0</v>
      </c>
      <c r="H215" s="8">
        <v>0.78</v>
      </c>
      <c r="I215" s="7">
        <v>45858.0</v>
      </c>
      <c r="J215" s="6" t="s">
        <v>17</v>
      </c>
      <c r="K215" s="8">
        <v>0.86</v>
      </c>
      <c r="L215" s="9">
        <f>E215*Scoring_Weights!$B$2 + F215*Scoring_Weights!$B$3 + G215*Scoring_Weights!$B$4</f>
        <v>93.25</v>
      </c>
      <c r="M215" s="6" t="str">
        <f>IF(AND(H215&gt;=(VLOOKUP(J215,Interview_Slots!$A$2:$D$5,4,FALSE)/100), L215&gt;=VLOOKUP(J215,Interview_Slots!$A$2:$D$5,3,FALSE)), "Eligible", "Not Eligible")</f>
        <v>Eligible</v>
      </c>
    </row>
    <row r="216">
      <c r="A216" s="6" t="s">
        <v>462</v>
      </c>
      <c r="B216" s="6" t="s">
        <v>463</v>
      </c>
      <c r="C216" s="6" t="s">
        <v>56</v>
      </c>
      <c r="D216" s="7" t="str">
        <f>VLOOKUP(C216, Dept_Lookup!$A$2:$B$17, 2, FALSE)</f>
        <v>Civil</v>
      </c>
      <c r="E216" s="6">
        <v>63.0</v>
      </c>
      <c r="F216" s="6">
        <v>55.0</v>
      </c>
      <c r="G216" s="6">
        <v>56.0</v>
      </c>
      <c r="H216" s="8">
        <v>0.83</v>
      </c>
      <c r="I216" s="7">
        <v>45865.0</v>
      </c>
      <c r="J216" s="6" t="s">
        <v>25</v>
      </c>
      <c r="K216" s="8">
        <v>0.84</v>
      </c>
      <c r="L216" s="9">
        <f>E216*Scoring_Weights!$B$2 + F216*Scoring_Weights!$B$3 + G216*Scoring_Weights!$B$4</f>
        <v>56.7</v>
      </c>
      <c r="M216" s="6" t="str">
        <f>IF(AND(H216&gt;=(VLOOKUP(J216,Interview_Slots!$A$2:$D$5,4,FALSE)/100), L216&gt;=VLOOKUP(J216,Interview_Slots!$A$2:$D$5,3,FALSE)), "Eligible", "Not Eligible")</f>
        <v>Not Eligible</v>
      </c>
    </row>
    <row r="217">
      <c r="A217" s="6" t="s">
        <v>464</v>
      </c>
      <c r="B217" s="6" t="s">
        <v>465</v>
      </c>
      <c r="C217" s="6" t="s">
        <v>59</v>
      </c>
      <c r="D217" s="7" t="str">
        <f>VLOOKUP(C217, Dept_Lookup!$A$2:$B$17, 2, FALSE)</f>
        <v>Civil</v>
      </c>
      <c r="E217" s="6">
        <v>63.0</v>
      </c>
      <c r="F217" s="6">
        <v>63.0</v>
      </c>
      <c r="G217" s="6">
        <v>86.0</v>
      </c>
      <c r="H217" s="8">
        <v>0.91</v>
      </c>
      <c r="I217" s="7">
        <v>45865.0</v>
      </c>
      <c r="J217" s="6" t="s">
        <v>17</v>
      </c>
      <c r="K217" s="8">
        <v>0.73</v>
      </c>
      <c r="L217" s="9">
        <f>E217*Scoring_Weights!$B$2 + F217*Scoring_Weights!$B$3 + G217*Scoring_Weights!$B$4</f>
        <v>74.5</v>
      </c>
      <c r="M217" s="6" t="str">
        <f>IF(AND(H217&gt;=(VLOOKUP(J217,Interview_Slots!$A$2:$D$5,4,FALSE)/100), L217&gt;=VLOOKUP(J217,Interview_Slots!$A$2:$D$5,3,FALSE)), "Eligible", "Not Eligible")</f>
        <v>Eligible</v>
      </c>
    </row>
    <row r="218">
      <c r="A218" s="6" t="s">
        <v>466</v>
      </c>
      <c r="B218" s="6" t="s">
        <v>467</v>
      </c>
      <c r="C218" s="6" t="s">
        <v>62</v>
      </c>
      <c r="D218" s="7" t="str">
        <f>VLOOKUP(C218, Dept_Lookup!$A$2:$B$17, 2, FALSE)</f>
        <v>Civil</v>
      </c>
      <c r="E218" s="6">
        <v>98.0</v>
      </c>
      <c r="F218" s="6">
        <v>65.0</v>
      </c>
      <c r="G218" s="6">
        <v>70.0</v>
      </c>
      <c r="H218" s="8">
        <v>0.91</v>
      </c>
      <c r="I218" s="7">
        <v>45877.0</v>
      </c>
      <c r="J218" s="6" t="s">
        <v>25</v>
      </c>
      <c r="K218" s="8">
        <v>0.98</v>
      </c>
      <c r="L218" s="9">
        <f>E218*Scoring_Weights!$B$2 + F218*Scoring_Weights!$B$3 + G218*Scoring_Weights!$B$4</f>
        <v>72.45</v>
      </c>
      <c r="M218" s="6" t="str">
        <f>IF(AND(H218&gt;=(VLOOKUP(J218,Interview_Slots!$A$2:$D$5,4,FALSE)/100), L218&gt;=VLOOKUP(J218,Interview_Slots!$A$2:$D$5,3,FALSE)), "Eligible", "Not Eligible")</f>
        <v>Not Eligible</v>
      </c>
    </row>
    <row r="219">
      <c r="A219" s="6" t="s">
        <v>468</v>
      </c>
      <c r="B219" s="6" t="s">
        <v>469</v>
      </c>
      <c r="C219" s="6" t="s">
        <v>16</v>
      </c>
      <c r="D219" s="7" t="str">
        <f>VLOOKUP(C219, Dept_Lookup!$A$2:$B$17, 2, FALSE)</f>
        <v>Computer Science</v>
      </c>
      <c r="E219" s="6">
        <v>65.0</v>
      </c>
      <c r="F219" s="6">
        <v>74.0</v>
      </c>
      <c r="G219" s="6">
        <v>59.0</v>
      </c>
      <c r="H219" s="8">
        <v>0.8</v>
      </c>
      <c r="I219" s="7">
        <v>45900.0</v>
      </c>
      <c r="J219" s="6" t="s">
        <v>17</v>
      </c>
      <c r="K219" s="8">
        <v>0.81</v>
      </c>
      <c r="L219" s="9">
        <f>E219*Scoring_Weights!$B$2 + F219*Scoring_Weights!$B$3 + G219*Scoring_Weights!$B$4</f>
        <v>65.15</v>
      </c>
      <c r="M219" s="6" t="str">
        <f>IF(AND(H219&gt;=(VLOOKUP(J219,Interview_Slots!$A$2:$D$5,4,FALSE)/100), L219&gt;=VLOOKUP(J219,Interview_Slots!$A$2:$D$5,3,FALSE)), "Eligible", "Not Eligible")</f>
        <v>Eligible</v>
      </c>
    </row>
    <row r="220">
      <c r="A220" s="6" t="s">
        <v>470</v>
      </c>
      <c r="B220" s="6" t="s">
        <v>471</v>
      </c>
      <c r="C220" s="6" t="s">
        <v>20</v>
      </c>
      <c r="D220" s="7" t="str">
        <f>VLOOKUP(C220, Dept_Lookup!$A$2:$B$17, 2, FALSE)</f>
        <v>Computer Science</v>
      </c>
      <c r="E220" s="6">
        <v>75.0</v>
      </c>
      <c r="F220" s="6">
        <v>90.0</v>
      </c>
      <c r="G220" s="6">
        <v>62.0</v>
      </c>
      <c r="H220" s="8">
        <v>0.85</v>
      </c>
      <c r="I220" s="7">
        <v>45865.0</v>
      </c>
      <c r="J220" s="6" t="s">
        <v>21</v>
      </c>
      <c r="K220" s="8">
        <v>0.95</v>
      </c>
      <c r="L220" s="9">
        <f>E220*Scoring_Weights!$B$2 + F220*Scoring_Weights!$B$3 + G220*Scoring_Weights!$B$4</f>
        <v>73.75</v>
      </c>
      <c r="M220" s="6" t="str">
        <f>IF(AND(H220&gt;=(VLOOKUP(J220,Interview_Slots!$A$2:$D$5,4,FALSE)/100), L220&gt;=VLOOKUP(J220,Interview_Slots!$A$2:$D$5,3,FALSE)), "Eligible", "Not Eligible")</f>
        <v>Eligible</v>
      </c>
    </row>
    <row r="221">
      <c r="A221" s="6" t="s">
        <v>472</v>
      </c>
      <c r="B221" s="6" t="s">
        <v>473</v>
      </c>
      <c r="C221" s="6" t="s">
        <v>24</v>
      </c>
      <c r="D221" s="7" t="str">
        <f>VLOOKUP(C221, Dept_Lookup!$A$2:$B$17, 2, FALSE)</f>
        <v>Computer Science</v>
      </c>
      <c r="E221" s="6">
        <v>73.0</v>
      </c>
      <c r="F221" s="6">
        <v>86.0</v>
      </c>
      <c r="G221" s="6">
        <v>69.0</v>
      </c>
      <c r="H221" s="8">
        <v>0.84</v>
      </c>
      <c r="I221" s="7">
        <v>45877.0</v>
      </c>
      <c r="J221" s="6" t="s">
        <v>32</v>
      </c>
      <c r="K221" s="8">
        <v>0.86</v>
      </c>
      <c r="L221" s="9">
        <f>E221*Scoring_Weights!$B$2 + F221*Scoring_Weights!$B$3 + G221*Scoring_Weights!$B$4</f>
        <v>75.55</v>
      </c>
      <c r="M221" s="6" t="str">
        <f>IF(AND(H221&gt;=(VLOOKUP(J221,Interview_Slots!$A$2:$D$5,4,FALSE)/100), L221&gt;=VLOOKUP(J221,Interview_Slots!$A$2:$D$5,3,FALSE)), "Eligible", "Not Eligible")</f>
        <v>Eligible</v>
      </c>
    </row>
    <row r="222">
      <c r="A222" s="6" t="s">
        <v>474</v>
      </c>
      <c r="B222" s="6" t="s">
        <v>475</v>
      </c>
      <c r="C222" s="6" t="s">
        <v>28</v>
      </c>
      <c r="D222" s="7" t="str">
        <f>VLOOKUP(C222, Dept_Lookup!$A$2:$B$17, 2, FALSE)</f>
        <v>Computer Science</v>
      </c>
      <c r="E222" s="6">
        <v>80.0</v>
      </c>
      <c r="F222" s="6">
        <v>87.0</v>
      </c>
      <c r="G222" s="6">
        <v>98.0</v>
      </c>
      <c r="H222" s="8">
        <v>0.78</v>
      </c>
      <c r="I222" s="7">
        <v>45893.0</v>
      </c>
      <c r="J222" s="6" t="s">
        <v>32</v>
      </c>
      <c r="K222" s="8">
        <v>0.96</v>
      </c>
      <c r="L222" s="9">
        <f>E222*Scoring_Weights!$B$2 + F222*Scoring_Weights!$B$3 + G222*Scoring_Weights!$B$4</f>
        <v>91.45</v>
      </c>
      <c r="M222" s="6" t="str">
        <f>IF(AND(H222&gt;=(VLOOKUP(J222,Interview_Slots!$A$2:$D$5,4,FALSE)/100), L222&gt;=VLOOKUP(J222,Interview_Slots!$A$2:$D$5,3,FALSE)), "Eligible", "Not Eligible")</f>
        <v>Eligible</v>
      </c>
    </row>
    <row r="223">
      <c r="A223" s="6" t="s">
        <v>476</v>
      </c>
      <c r="B223" s="6" t="s">
        <v>477</v>
      </c>
      <c r="C223" s="6" t="s">
        <v>31</v>
      </c>
      <c r="D223" s="7" t="str">
        <f>VLOOKUP(C223, Dept_Lookup!$A$2:$B$17, 2, FALSE)</f>
        <v>Electronics</v>
      </c>
      <c r="E223" s="6">
        <v>77.0</v>
      </c>
      <c r="F223" s="6">
        <v>89.0</v>
      </c>
      <c r="G223" s="6">
        <v>61.0</v>
      </c>
      <c r="H223" s="8">
        <v>0.88</v>
      </c>
      <c r="I223" s="7">
        <v>45865.0</v>
      </c>
      <c r="J223" s="6" t="s">
        <v>17</v>
      </c>
      <c r="K223" s="8">
        <v>0.87</v>
      </c>
      <c r="L223" s="9">
        <f>E223*Scoring_Weights!$B$2 + F223*Scoring_Weights!$B$3 + G223*Scoring_Weights!$B$4</f>
        <v>73.2</v>
      </c>
      <c r="M223" s="6" t="str">
        <f>IF(AND(H223&gt;=(VLOOKUP(J223,Interview_Slots!$A$2:$D$5,4,FALSE)/100), L223&gt;=VLOOKUP(J223,Interview_Slots!$A$2:$D$5,3,FALSE)), "Eligible", "Not Eligible")</f>
        <v>Eligible</v>
      </c>
    </row>
    <row r="224">
      <c r="A224" s="6" t="s">
        <v>478</v>
      </c>
      <c r="B224" s="6" t="s">
        <v>479</v>
      </c>
      <c r="C224" s="6" t="s">
        <v>35</v>
      </c>
      <c r="D224" s="7" t="str">
        <f>VLOOKUP(C224, Dept_Lookup!$A$2:$B$17, 2, FALSE)</f>
        <v>Electronics</v>
      </c>
      <c r="E224" s="6">
        <v>92.0</v>
      </c>
      <c r="F224" s="6">
        <v>65.0</v>
      </c>
      <c r="G224" s="6">
        <v>88.0</v>
      </c>
      <c r="H224" s="8">
        <v>0.82</v>
      </c>
      <c r="I224" s="7">
        <v>45877.0</v>
      </c>
      <c r="J224" s="6" t="s">
        <v>21</v>
      </c>
      <c r="K224" s="8">
        <v>0.97</v>
      </c>
      <c r="L224" s="9">
        <f>E224*Scoring_Weights!$B$2 + F224*Scoring_Weights!$B$3 + G224*Scoring_Weights!$B$4</f>
        <v>80.55</v>
      </c>
      <c r="M224" s="6" t="str">
        <f>IF(AND(H224&gt;=(VLOOKUP(J224,Interview_Slots!$A$2:$D$5,4,FALSE)/100), L224&gt;=VLOOKUP(J224,Interview_Slots!$A$2:$D$5,3,FALSE)), "Eligible", "Not Eligible")</f>
        <v>Eligible</v>
      </c>
    </row>
    <row r="225">
      <c r="A225" s="6" t="s">
        <v>480</v>
      </c>
      <c r="B225" s="6" t="s">
        <v>481</v>
      </c>
      <c r="C225" s="6" t="s">
        <v>38</v>
      </c>
      <c r="D225" s="7" t="str">
        <f>VLOOKUP(C225, Dept_Lookup!$A$2:$B$17, 2, FALSE)</f>
        <v>Electronics</v>
      </c>
      <c r="E225" s="6">
        <v>59.0</v>
      </c>
      <c r="F225" s="6">
        <v>93.0</v>
      </c>
      <c r="G225" s="6">
        <v>58.0</v>
      </c>
      <c r="H225" s="8">
        <v>0.85</v>
      </c>
      <c r="I225" s="7">
        <v>45887.0</v>
      </c>
      <c r="J225" s="6" t="s">
        <v>21</v>
      </c>
      <c r="K225" s="8">
        <v>0.84</v>
      </c>
      <c r="L225" s="9">
        <f>E225*Scoring_Weights!$B$2 + F225*Scoring_Weights!$B$3 + G225*Scoring_Weights!$B$4</f>
        <v>70.4</v>
      </c>
      <c r="M225" s="6" t="str">
        <f>IF(AND(H225&gt;=(VLOOKUP(J225,Interview_Slots!$A$2:$D$5,4,FALSE)/100), L225&gt;=VLOOKUP(J225,Interview_Slots!$A$2:$D$5,3,FALSE)), "Eligible", "Not Eligible")</f>
        <v>Eligible</v>
      </c>
    </row>
    <row r="226">
      <c r="A226" s="6" t="s">
        <v>482</v>
      </c>
      <c r="B226" s="6" t="s">
        <v>483</v>
      </c>
      <c r="C226" s="6" t="s">
        <v>41</v>
      </c>
      <c r="D226" s="7" t="str">
        <f>VLOOKUP(C226, Dept_Lookup!$A$2:$B$17, 2, FALSE)</f>
        <v>Electronics</v>
      </c>
      <c r="E226" s="6">
        <v>96.0</v>
      </c>
      <c r="F226" s="6">
        <v>70.0</v>
      </c>
      <c r="G226" s="6">
        <v>61.0</v>
      </c>
      <c r="H226" s="8">
        <v>0.75</v>
      </c>
      <c r="I226" s="7">
        <v>45880.0</v>
      </c>
      <c r="J226" s="6" t="s">
        <v>21</v>
      </c>
      <c r="K226" s="8">
        <v>0.81</v>
      </c>
      <c r="L226" s="9">
        <f>E226*Scoring_Weights!$B$2 + F226*Scoring_Weights!$B$3 + G226*Scoring_Weights!$B$4</f>
        <v>69.4</v>
      </c>
      <c r="M226" s="6" t="str">
        <f>IF(AND(H226&gt;=(VLOOKUP(J226,Interview_Slots!$A$2:$D$5,4,FALSE)/100), L226&gt;=VLOOKUP(J226,Interview_Slots!$A$2:$D$5,3,FALSE)), "Eligible", "Not Eligible")</f>
        <v>Not Eligible</v>
      </c>
    </row>
    <row r="227">
      <c r="A227" s="6" t="s">
        <v>484</v>
      </c>
      <c r="B227" s="6" t="s">
        <v>485</v>
      </c>
      <c r="C227" s="6" t="s">
        <v>44</v>
      </c>
      <c r="D227" s="7" t="str">
        <f>VLOOKUP(C227, Dept_Lookup!$A$2:$B$17, 2, FALSE)</f>
        <v>Mechanical</v>
      </c>
      <c r="E227" s="6">
        <v>97.0</v>
      </c>
      <c r="F227" s="6">
        <v>87.0</v>
      </c>
      <c r="G227" s="6">
        <v>57.0</v>
      </c>
      <c r="H227" s="8">
        <v>0.78</v>
      </c>
      <c r="I227" s="7">
        <v>45880.0</v>
      </c>
      <c r="J227" s="6" t="s">
        <v>25</v>
      </c>
      <c r="K227" s="8">
        <v>0.81</v>
      </c>
      <c r="L227" s="9">
        <f>E227*Scoring_Weights!$B$2 + F227*Scoring_Weights!$B$3 + G227*Scoring_Weights!$B$4</f>
        <v>73.5</v>
      </c>
      <c r="M227" s="6" t="str">
        <f>IF(AND(H227&gt;=(VLOOKUP(J227,Interview_Slots!$A$2:$D$5,4,FALSE)/100), L227&gt;=VLOOKUP(J227,Interview_Slots!$A$2:$D$5,3,FALSE)), "Eligible", "Not Eligible")</f>
        <v>Not Eligible</v>
      </c>
    </row>
    <row r="228">
      <c r="A228" s="6" t="s">
        <v>486</v>
      </c>
      <c r="B228" s="6" t="s">
        <v>487</v>
      </c>
      <c r="C228" s="6" t="s">
        <v>47</v>
      </c>
      <c r="D228" s="7" t="str">
        <f>VLOOKUP(C228, Dept_Lookup!$A$2:$B$17, 2, FALSE)</f>
        <v>Mechanical</v>
      </c>
      <c r="E228" s="6">
        <v>65.0</v>
      </c>
      <c r="F228" s="6">
        <v>82.0</v>
      </c>
      <c r="G228" s="6">
        <v>73.0</v>
      </c>
      <c r="H228" s="8">
        <v>0.94</v>
      </c>
      <c r="I228" s="7">
        <v>45919.0</v>
      </c>
      <c r="J228" s="6" t="s">
        <v>25</v>
      </c>
      <c r="K228" s="8">
        <v>0.85</v>
      </c>
      <c r="L228" s="9">
        <f>E228*Scoring_Weights!$B$2 + F228*Scoring_Weights!$B$3 + G228*Scoring_Weights!$B$4</f>
        <v>74.95</v>
      </c>
      <c r="M228" s="6" t="str">
        <f>IF(AND(H228&gt;=(VLOOKUP(J228,Interview_Slots!$A$2:$D$5,4,FALSE)/100), L228&gt;=VLOOKUP(J228,Interview_Slots!$A$2:$D$5,3,FALSE)), "Eligible", "Not Eligible")</f>
        <v>Not Eligible</v>
      </c>
    </row>
    <row r="229">
      <c r="A229" s="6" t="s">
        <v>488</v>
      </c>
      <c r="B229" s="6" t="s">
        <v>489</v>
      </c>
      <c r="C229" s="6" t="s">
        <v>50</v>
      </c>
      <c r="D229" s="7" t="str">
        <f>VLOOKUP(C229, Dept_Lookup!$A$2:$B$17, 2, FALSE)</f>
        <v>Mechanical</v>
      </c>
      <c r="E229" s="6">
        <v>55.0</v>
      </c>
      <c r="F229" s="6">
        <v>95.0</v>
      </c>
      <c r="G229" s="6">
        <v>67.0</v>
      </c>
      <c r="H229" s="8">
        <v>0.9</v>
      </c>
      <c r="I229" s="7">
        <v>45900.0</v>
      </c>
      <c r="J229" s="6" t="s">
        <v>25</v>
      </c>
      <c r="K229" s="8">
        <v>0.82</v>
      </c>
      <c r="L229" s="9">
        <f>E229*Scoring_Weights!$B$2 + F229*Scoring_Weights!$B$3 + G229*Scoring_Weights!$B$4</f>
        <v>75</v>
      </c>
      <c r="M229" s="6" t="str">
        <f>IF(AND(H229&gt;=(VLOOKUP(J229,Interview_Slots!$A$2:$D$5,4,FALSE)/100), L229&gt;=VLOOKUP(J229,Interview_Slots!$A$2:$D$5,3,FALSE)), "Eligible", "Not Eligible")</f>
        <v>Eligible</v>
      </c>
    </row>
    <row r="230">
      <c r="A230" s="6" t="s">
        <v>490</v>
      </c>
      <c r="B230" s="6" t="s">
        <v>491</v>
      </c>
      <c r="C230" s="6" t="s">
        <v>53</v>
      </c>
      <c r="D230" s="7" t="str">
        <f>VLOOKUP(C230, Dept_Lookup!$A$2:$B$17, 2, FALSE)</f>
        <v>Mechanical</v>
      </c>
      <c r="E230" s="6">
        <v>78.0</v>
      </c>
      <c r="F230" s="6">
        <v>85.0</v>
      </c>
      <c r="G230" s="6">
        <v>95.0</v>
      </c>
      <c r="H230" s="8">
        <v>0.9</v>
      </c>
      <c r="I230" s="7">
        <v>45900.0</v>
      </c>
      <c r="J230" s="6" t="s">
        <v>17</v>
      </c>
      <c r="K230" s="8">
        <v>0.91</v>
      </c>
      <c r="L230" s="9">
        <f>E230*Scoring_Weights!$B$2 + F230*Scoring_Weights!$B$3 + G230*Scoring_Weights!$B$4</f>
        <v>88.95</v>
      </c>
      <c r="M230" s="6" t="str">
        <f>IF(AND(H230&gt;=(VLOOKUP(J230,Interview_Slots!$A$2:$D$5,4,FALSE)/100), L230&gt;=VLOOKUP(J230,Interview_Slots!$A$2:$D$5,3,FALSE)), "Eligible", "Not Eligible")</f>
        <v>Eligible</v>
      </c>
    </row>
    <row r="231">
      <c r="A231" s="6" t="s">
        <v>492</v>
      </c>
      <c r="B231" s="6" t="s">
        <v>493</v>
      </c>
      <c r="C231" s="6" t="s">
        <v>56</v>
      </c>
      <c r="D231" s="7" t="str">
        <f>VLOOKUP(C231, Dept_Lookup!$A$2:$B$17, 2, FALSE)</f>
        <v>Civil</v>
      </c>
      <c r="E231" s="6">
        <v>82.0</v>
      </c>
      <c r="F231" s="6">
        <v>80.0</v>
      </c>
      <c r="G231" s="6">
        <v>97.0</v>
      </c>
      <c r="H231" s="8">
        <v>0.87</v>
      </c>
      <c r="I231" s="7">
        <v>45855.0</v>
      </c>
      <c r="J231" s="6" t="s">
        <v>32</v>
      </c>
      <c r="K231" s="8">
        <v>0.73</v>
      </c>
      <c r="L231" s="9">
        <f>E231*Scoring_Weights!$B$2 + F231*Scoring_Weights!$B$3 + G231*Scoring_Weights!$B$4</f>
        <v>88.8</v>
      </c>
      <c r="M231" s="6" t="str">
        <f>IF(AND(H231&gt;=(VLOOKUP(J231,Interview_Slots!$A$2:$D$5,4,FALSE)/100), L231&gt;=VLOOKUP(J231,Interview_Slots!$A$2:$D$5,3,FALSE)), "Eligible", "Not Eligible")</f>
        <v>Eligible</v>
      </c>
    </row>
    <row r="232">
      <c r="A232" s="6" t="s">
        <v>494</v>
      </c>
      <c r="B232" s="6" t="s">
        <v>495</v>
      </c>
      <c r="C232" s="6" t="s">
        <v>59</v>
      </c>
      <c r="D232" s="7" t="str">
        <f>VLOOKUP(C232, Dept_Lookup!$A$2:$B$17, 2, FALSE)</f>
        <v>Civil</v>
      </c>
      <c r="E232" s="6">
        <v>79.0</v>
      </c>
      <c r="F232" s="6">
        <v>91.0</v>
      </c>
      <c r="G232" s="6">
        <v>81.0</v>
      </c>
      <c r="H232" s="8">
        <v>0.87</v>
      </c>
      <c r="I232" s="7">
        <v>45860.0</v>
      </c>
      <c r="J232" s="6" t="s">
        <v>17</v>
      </c>
      <c r="K232" s="8">
        <v>0.96</v>
      </c>
      <c r="L232" s="9">
        <f>E232*Scoring_Weights!$B$2 + F232*Scoring_Weights!$B$3 + G232*Scoring_Weights!$B$4</f>
        <v>84.2</v>
      </c>
      <c r="M232" s="6" t="str">
        <f>IF(AND(H232&gt;=(VLOOKUP(J232,Interview_Slots!$A$2:$D$5,4,FALSE)/100), L232&gt;=VLOOKUP(J232,Interview_Slots!$A$2:$D$5,3,FALSE)), "Eligible", "Not Eligible")</f>
        <v>Eligible</v>
      </c>
    </row>
    <row r="233">
      <c r="A233" s="6" t="s">
        <v>496</v>
      </c>
      <c r="B233" s="6" t="s">
        <v>497</v>
      </c>
      <c r="C233" s="6" t="s">
        <v>62</v>
      </c>
      <c r="D233" s="7" t="str">
        <f>VLOOKUP(C233, Dept_Lookup!$A$2:$B$17, 2, FALSE)</f>
        <v>Civil</v>
      </c>
      <c r="E233" s="6">
        <v>60.0</v>
      </c>
      <c r="F233" s="6">
        <v>88.0</v>
      </c>
      <c r="G233" s="6">
        <v>67.0</v>
      </c>
      <c r="H233" s="8">
        <v>0.8</v>
      </c>
      <c r="I233" s="7">
        <v>45879.0</v>
      </c>
      <c r="J233" s="6" t="s">
        <v>21</v>
      </c>
      <c r="K233" s="8">
        <v>0.81</v>
      </c>
      <c r="L233" s="9">
        <f>E233*Scoring_Weights!$B$2 + F233*Scoring_Weights!$B$3 + G233*Scoring_Weights!$B$4</f>
        <v>73.3</v>
      </c>
      <c r="M233" s="6" t="str">
        <f>IF(AND(H233&gt;=(VLOOKUP(J233,Interview_Slots!$A$2:$D$5,4,FALSE)/100), L233&gt;=VLOOKUP(J233,Interview_Slots!$A$2:$D$5,3,FALSE)), "Eligible", "Not Eligible")</f>
        <v>Eligible</v>
      </c>
    </row>
    <row r="234">
      <c r="A234" s="6" t="s">
        <v>498</v>
      </c>
      <c r="B234" s="6" t="s">
        <v>499</v>
      </c>
      <c r="C234" s="6" t="s">
        <v>65</v>
      </c>
      <c r="D234" s="7" t="str">
        <f>VLOOKUP(C234, Dept_Lookup!$A$2:$B$17, 2, FALSE)</f>
        <v>Civil</v>
      </c>
      <c r="E234" s="6">
        <v>58.0</v>
      </c>
      <c r="F234" s="6">
        <v>60.0</v>
      </c>
      <c r="G234" s="6">
        <v>82.0</v>
      </c>
      <c r="H234" s="8">
        <v>0.91</v>
      </c>
      <c r="I234" s="7">
        <v>45865.0</v>
      </c>
      <c r="J234" s="6" t="s">
        <v>32</v>
      </c>
      <c r="K234" s="8">
        <v>0.8</v>
      </c>
      <c r="L234" s="9">
        <f>E234*Scoring_Weights!$B$2 + F234*Scoring_Weights!$B$3 + G234*Scoring_Weights!$B$4</f>
        <v>70.7</v>
      </c>
      <c r="M234" s="6" t="str">
        <f>IF(AND(H234&gt;=(VLOOKUP(J234,Interview_Slots!$A$2:$D$5,4,FALSE)/100), L234&gt;=VLOOKUP(J234,Interview_Slots!$A$2:$D$5,3,FALSE)), "Eligible", "Not Eligible")</f>
        <v>Eligible</v>
      </c>
    </row>
    <row r="235">
      <c r="A235" s="6" t="s">
        <v>500</v>
      </c>
      <c r="B235" s="6" t="s">
        <v>501</v>
      </c>
      <c r="C235" s="6" t="s">
        <v>16</v>
      </c>
      <c r="D235" s="7" t="str">
        <f>VLOOKUP(C235, Dept_Lookup!$A$2:$B$17, 2, FALSE)</f>
        <v>Computer Science</v>
      </c>
      <c r="E235" s="6">
        <v>88.0</v>
      </c>
      <c r="F235" s="6">
        <v>99.0</v>
      </c>
      <c r="G235" s="6">
        <v>100.0</v>
      </c>
      <c r="H235" s="8">
        <v>0.77</v>
      </c>
      <c r="I235" s="7">
        <v>45903.0</v>
      </c>
      <c r="J235" s="6" t="s">
        <v>17</v>
      </c>
      <c r="K235" s="8">
        <v>0.84</v>
      </c>
      <c r="L235" s="9">
        <f>E235*Scoring_Weights!$B$2 + F235*Scoring_Weights!$B$3 + G235*Scoring_Weights!$B$4</f>
        <v>97.85</v>
      </c>
      <c r="M235" s="6" t="str">
        <f>IF(AND(H235&gt;=(VLOOKUP(J235,Interview_Slots!$A$2:$D$5,4,FALSE)/100), L235&gt;=VLOOKUP(J235,Interview_Slots!$A$2:$D$5,3,FALSE)), "Eligible", "Not Eligible")</f>
        <v>Eligible</v>
      </c>
    </row>
    <row r="236">
      <c r="A236" s="6" t="s">
        <v>502</v>
      </c>
      <c r="B236" s="6" t="s">
        <v>503</v>
      </c>
      <c r="C236" s="6" t="s">
        <v>20</v>
      </c>
      <c r="D236" s="7" t="str">
        <f>VLOOKUP(C236, Dept_Lookup!$A$2:$B$17, 2, FALSE)</f>
        <v>Computer Science</v>
      </c>
      <c r="E236" s="6">
        <v>74.0</v>
      </c>
      <c r="F236" s="6">
        <v>93.0</v>
      </c>
      <c r="G236" s="6">
        <v>76.0</v>
      </c>
      <c r="H236" s="8">
        <v>0.8</v>
      </c>
      <c r="I236" s="7">
        <v>45891.0</v>
      </c>
      <c r="J236" s="6" t="s">
        <v>17</v>
      </c>
      <c r="K236" s="8">
        <v>0.92</v>
      </c>
      <c r="L236" s="9">
        <f>E236*Scoring_Weights!$B$2 + F236*Scoring_Weights!$B$3 + G236*Scoring_Weights!$B$4</f>
        <v>81.65</v>
      </c>
      <c r="M236" s="6" t="str">
        <f>IF(AND(H236&gt;=(VLOOKUP(J236,Interview_Slots!$A$2:$D$5,4,FALSE)/100), L236&gt;=VLOOKUP(J236,Interview_Slots!$A$2:$D$5,3,FALSE)), "Eligible", "Not Eligible")</f>
        <v>Eligible</v>
      </c>
    </row>
    <row r="237">
      <c r="A237" s="6" t="s">
        <v>504</v>
      </c>
      <c r="B237" s="6" t="s">
        <v>505</v>
      </c>
      <c r="C237" s="6" t="s">
        <v>24</v>
      </c>
      <c r="D237" s="7" t="str">
        <f>VLOOKUP(C237, Dept_Lookup!$A$2:$B$17, 2, FALSE)</f>
        <v>Computer Science</v>
      </c>
      <c r="E237" s="6">
        <v>94.0</v>
      </c>
      <c r="F237" s="6">
        <v>67.0</v>
      </c>
      <c r="G237" s="6">
        <v>97.0</v>
      </c>
      <c r="H237" s="8">
        <v>0.88</v>
      </c>
      <c r="I237" s="7">
        <v>45865.0</v>
      </c>
      <c r="J237" s="6" t="s">
        <v>21</v>
      </c>
      <c r="K237" s="8">
        <v>0.76</v>
      </c>
      <c r="L237" s="9">
        <f>E237*Scoring_Weights!$B$2 + F237*Scoring_Weights!$B$3 + G237*Scoring_Weights!$B$4</f>
        <v>86.05</v>
      </c>
      <c r="M237" s="6" t="str">
        <f>IF(AND(H237&gt;=(VLOOKUP(J237,Interview_Slots!$A$2:$D$5,4,FALSE)/100), L237&gt;=VLOOKUP(J237,Interview_Slots!$A$2:$D$5,3,FALSE)), "Eligible", "Not Eligible")</f>
        <v>Eligible</v>
      </c>
    </row>
    <row r="238">
      <c r="A238" s="6" t="s">
        <v>506</v>
      </c>
      <c r="B238" s="6" t="s">
        <v>507</v>
      </c>
      <c r="C238" s="6" t="s">
        <v>28</v>
      </c>
      <c r="D238" s="7" t="str">
        <f>VLOOKUP(C238, Dept_Lookup!$A$2:$B$17, 2, FALSE)</f>
        <v>Computer Science</v>
      </c>
      <c r="E238" s="6">
        <v>66.0</v>
      </c>
      <c r="F238" s="6">
        <v>80.0</v>
      </c>
      <c r="G238" s="6">
        <v>58.0</v>
      </c>
      <c r="H238" s="8">
        <v>0.76</v>
      </c>
      <c r="I238" s="7">
        <v>45865.0</v>
      </c>
      <c r="J238" s="6" t="s">
        <v>21</v>
      </c>
      <c r="K238" s="8">
        <v>0.84</v>
      </c>
      <c r="L238" s="9">
        <f>E238*Scoring_Weights!$B$2 + F238*Scoring_Weights!$B$3 + G238*Scoring_Weights!$B$4</f>
        <v>66.9</v>
      </c>
      <c r="M238" s="6" t="str">
        <f>IF(AND(H238&gt;=(VLOOKUP(J238,Interview_Slots!$A$2:$D$5,4,FALSE)/100), L238&gt;=VLOOKUP(J238,Interview_Slots!$A$2:$D$5,3,FALSE)), "Eligible", "Not Eligible")</f>
        <v>Not Eligible</v>
      </c>
    </row>
    <row r="239">
      <c r="A239" s="6" t="s">
        <v>508</v>
      </c>
      <c r="B239" s="6" t="s">
        <v>509</v>
      </c>
      <c r="C239" s="6" t="s">
        <v>31</v>
      </c>
      <c r="D239" s="7" t="str">
        <f>VLOOKUP(C239, Dept_Lookup!$A$2:$B$17, 2, FALSE)</f>
        <v>Electronics</v>
      </c>
      <c r="E239" s="6">
        <v>69.0</v>
      </c>
      <c r="F239" s="6">
        <v>78.0</v>
      </c>
      <c r="G239" s="6">
        <v>63.0</v>
      </c>
      <c r="H239" s="8">
        <v>0.8</v>
      </c>
      <c r="I239" s="11">
        <v>45898.0</v>
      </c>
      <c r="J239" s="6" t="s">
        <v>21</v>
      </c>
      <c r="K239" s="8">
        <v>0.89</v>
      </c>
      <c r="L239" s="9">
        <f>E239*Scoring_Weights!$B$2 + F239*Scoring_Weights!$B$3 + G239*Scoring_Weights!$B$4</f>
        <v>69.15</v>
      </c>
      <c r="M239" s="6" t="str">
        <f>IF(AND(H239&gt;=(VLOOKUP(J239,Interview_Slots!$A$2:$D$5,4,FALSE)/100), L239&gt;=VLOOKUP(J239,Interview_Slots!$A$2:$D$5,3,FALSE)), "Eligible", "Not Eligible")</f>
        <v>Not Eligible</v>
      </c>
    </row>
    <row r="240">
      <c r="A240" s="6" t="s">
        <v>510</v>
      </c>
      <c r="B240" s="6" t="s">
        <v>511</v>
      </c>
      <c r="C240" s="6" t="s">
        <v>35</v>
      </c>
      <c r="D240" s="7" t="str">
        <f>VLOOKUP(C240, Dept_Lookup!$A$2:$B$17, 2, FALSE)</f>
        <v>Electronics</v>
      </c>
      <c r="E240" s="6">
        <v>57.0</v>
      </c>
      <c r="F240" s="6">
        <v>73.0</v>
      </c>
      <c r="G240" s="6">
        <v>85.0</v>
      </c>
      <c r="H240" s="8">
        <v>0.75</v>
      </c>
      <c r="I240" s="7">
        <v>45919.0</v>
      </c>
      <c r="J240" s="6" t="s">
        <v>25</v>
      </c>
      <c r="K240" s="8">
        <v>0.76</v>
      </c>
      <c r="L240" s="9">
        <f>E240*Scoring_Weights!$B$2 + F240*Scoring_Weights!$B$3 + G240*Scoring_Weights!$B$4</f>
        <v>76.6</v>
      </c>
      <c r="M240" s="6" t="str">
        <f>IF(AND(H240&gt;=(VLOOKUP(J240,Interview_Slots!$A$2:$D$5,4,FALSE)/100), L240&gt;=VLOOKUP(J240,Interview_Slots!$A$2:$D$5,3,FALSE)), "Eligible", "Not Eligible")</f>
        <v>Not Eligible</v>
      </c>
    </row>
    <row r="241">
      <c r="A241" s="6" t="s">
        <v>512</v>
      </c>
      <c r="B241" s="6" t="s">
        <v>513</v>
      </c>
      <c r="C241" s="6" t="s">
        <v>38</v>
      </c>
      <c r="D241" s="7" t="str">
        <f>VLOOKUP(C241, Dept_Lookup!$A$2:$B$17, 2, FALSE)</f>
        <v>Electronics</v>
      </c>
      <c r="E241" s="6">
        <v>82.0</v>
      </c>
      <c r="F241" s="6">
        <v>60.0</v>
      </c>
      <c r="G241" s="6">
        <v>63.0</v>
      </c>
      <c r="H241" s="8">
        <v>0.86</v>
      </c>
      <c r="I241" s="7">
        <v>45893.0</v>
      </c>
      <c r="J241" s="6" t="s">
        <v>25</v>
      </c>
      <c r="K241" s="8">
        <v>0.98</v>
      </c>
      <c r="L241" s="9">
        <f>E241*Scoring_Weights!$B$2 + F241*Scoring_Weights!$B$3 + G241*Scoring_Weights!$B$4</f>
        <v>64.8</v>
      </c>
      <c r="M241" s="6" t="str">
        <f>IF(AND(H241&gt;=(VLOOKUP(J241,Interview_Slots!$A$2:$D$5,4,FALSE)/100), L241&gt;=VLOOKUP(J241,Interview_Slots!$A$2:$D$5,3,FALSE)), "Eligible", "Not Eligible")</f>
        <v>Not Eligible</v>
      </c>
    </row>
    <row r="242">
      <c r="A242" s="6" t="s">
        <v>514</v>
      </c>
      <c r="B242" s="6" t="s">
        <v>515</v>
      </c>
      <c r="C242" s="6" t="s">
        <v>41</v>
      </c>
      <c r="D242" s="7" t="str">
        <f>VLOOKUP(C242, Dept_Lookup!$A$2:$B$17, 2, FALSE)</f>
        <v>Electronics</v>
      </c>
      <c r="E242" s="6">
        <v>93.0</v>
      </c>
      <c r="F242" s="6">
        <v>76.0</v>
      </c>
      <c r="G242" s="6">
        <v>85.0</v>
      </c>
      <c r="H242" s="8">
        <v>0.91</v>
      </c>
      <c r="I242" s="7">
        <v>45868.0</v>
      </c>
      <c r="J242" s="6" t="s">
        <v>25</v>
      </c>
      <c r="K242" s="8">
        <v>0.8</v>
      </c>
      <c r="L242" s="9">
        <f>E242*Scoring_Weights!$B$2 + F242*Scoring_Weights!$B$3 + G242*Scoring_Weights!$B$4</f>
        <v>83.05</v>
      </c>
      <c r="M242" s="6" t="str">
        <f>IF(AND(H242&gt;=(VLOOKUP(J242,Interview_Slots!$A$2:$D$5,4,FALSE)/100), L242&gt;=VLOOKUP(J242,Interview_Slots!$A$2:$D$5,3,FALSE)), "Eligible", "Not Eligible")</f>
        <v>Eligible</v>
      </c>
    </row>
    <row r="243">
      <c r="A243" s="6" t="s">
        <v>516</v>
      </c>
      <c r="B243" s="6" t="s">
        <v>517</v>
      </c>
      <c r="C243" s="6" t="s">
        <v>44</v>
      </c>
      <c r="D243" s="7" t="str">
        <f>VLOOKUP(C243, Dept_Lookup!$A$2:$B$17, 2, FALSE)</f>
        <v>Mechanical</v>
      </c>
      <c r="E243" s="6">
        <v>95.0</v>
      </c>
      <c r="F243" s="6">
        <v>68.0</v>
      </c>
      <c r="G243" s="6">
        <v>82.0</v>
      </c>
      <c r="H243" s="8">
        <v>0.81</v>
      </c>
      <c r="I243" s="7">
        <v>45887.0</v>
      </c>
      <c r="J243" s="6" t="s">
        <v>17</v>
      </c>
      <c r="K243" s="8">
        <v>0.73</v>
      </c>
      <c r="L243" s="9">
        <f>E243*Scoring_Weights!$B$2 + F243*Scoring_Weights!$B$3 + G243*Scoring_Weights!$B$4</f>
        <v>79.05</v>
      </c>
      <c r="M243" s="6" t="str">
        <f>IF(AND(H243&gt;=(VLOOKUP(J243,Interview_Slots!$A$2:$D$5,4,FALSE)/100), L243&gt;=VLOOKUP(J243,Interview_Slots!$A$2:$D$5,3,FALSE)), "Eligible", "Not Eligible")</f>
        <v>Eligible</v>
      </c>
    </row>
    <row r="244">
      <c r="A244" s="6" t="s">
        <v>518</v>
      </c>
      <c r="B244" s="6" t="s">
        <v>519</v>
      </c>
      <c r="C244" s="6" t="s">
        <v>47</v>
      </c>
      <c r="D244" s="7" t="str">
        <f>VLOOKUP(C244, Dept_Lookup!$A$2:$B$17, 2, FALSE)</f>
        <v>Mechanical</v>
      </c>
      <c r="E244" s="6">
        <v>78.0</v>
      </c>
      <c r="F244" s="6">
        <v>58.0</v>
      </c>
      <c r="G244" s="6">
        <v>59.0</v>
      </c>
      <c r="H244" s="8">
        <v>0.81</v>
      </c>
      <c r="I244" s="7">
        <v>45865.0</v>
      </c>
      <c r="J244" s="6" t="s">
        <v>32</v>
      </c>
      <c r="K244" s="8">
        <v>0.92</v>
      </c>
      <c r="L244" s="9">
        <f>E244*Scoring_Weights!$B$2 + F244*Scoring_Weights!$B$3 + G244*Scoring_Weights!$B$4</f>
        <v>61.5</v>
      </c>
      <c r="M244" s="6" t="str">
        <f>IF(AND(H244&gt;=(VLOOKUP(J244,Interview_Slots!$A$2:$D$5,4,FALSE)/100), L244&gt;=VLOOKUP(J244,Interview_Slots!$A$2:$D$5,3,FALSE)), "Eligible", "Not Eligible")</f>
        <v>Not Eligible</v>
      </c>
    </row>
    <row r="245">
      <c r="A245" s="6" t="s">
        <v>520</v>
      </c>
      <c r="B245" s="6" t="s">
        <v>521</v>
      </c>
      <c r="C245" s="6" t="s">
        <v>50</v>
      </c>
      <c r="D245" s="7" t="str">
        <f>VLOOKUP(C245, Dept_Lookup!$A$2:$B$17, 2, FALSE)</f>
        <v>Mechanical</v>
      </c>
      <c r="E245" s="6">
        <v>92.0</v>
      </c>
      <c r="F245" s="6">
        <v>81.0</v>
      </c>
      <c r="G245" s="6">
        <v>97.0</v>
      </c>
      <c r="H245" s="8">
        <v>0.84</v>
      </c>
      <c r="I245" s="7">
        <v>45921.0</v>
      </c>
      <c r="J245" s="6" t="s">
        <v>32</v>
      </c>
      <c r="K245" s="8">
        <v>0.82</v>
      </c>
      <c r="L245" s="9">
        <f>E245*Scoring_Weights!$B$2 + F245*Scoring_Weights!$B$3 + G245*Scoring_Weights!$B$4</f>
        <v>90.65</v>
      </c>
      <c r="M245" s="6" t="str">
        <f>IF(AND(H245&gt;=(VLOOKUP(J245,Interview_Slots!$A$2:$D$5,4,FALSE)/100), L245&gt;=VLOOKUP(J245,Interview_Slots!$A$2:$D$5,3,FALSE)), "Eligible", "Not Eligible")</f>
        <v>Eligible</v>
      </c>
    </row>
    <row r="246">
      <c r="A246" s="6" t="s">
        <v>522</v>
      </c>
      <c r="B246" s="6" t="s">
        <v>523</v>
      </c>
      <c r="C246" s="6" t="s">
        <v>53</v>
      </c>
      <c r="D246" s="7" t="str">
        <f>VLOOKUP(C246, Dept_Lookup!$A$2:$B$17, 2, FALSE)</f>
        <v>Mechanical</v>
      </c>
      <c r="E246" s="6">
        <v>69.0</v>
      </c>
      <c r="F246" s="6">
        <v>98.0</v>
      </c>
      <c r="G246" s="6">
        <v>86.0</v>
      </c>
      <c r="H246" s="8">
        <v>0.93</v>
      </c>
      <c r="I246" s="7">
        <v>45866.0</v>
      </c>
      <c r="J246" s="6" t="s">
        <v>21</v>
      </c>
      <c r="K246" s="8">
        <v>0.83</v>
      </c>
      <c r="L246" s="9">
        <f>E246*Scoring_Weights!$B$2 + F246*Scoring_Weights!$B$3 + G246*Scoring_Weights!$B$4</f>
        <v>87.65</v>
      </c>
      <c r="M246" s="6" t="str">
        <f>IF(AND(H246&gt;=(VLOOKUP(J246,Interview_Slots!$A$2:$D$5,4,FALSE)/100), L246&gt;=VLOOKUP(J246,Interview_Slots!$A$2:$D$5,3,FALSE)), "Eligible", "Not Eligible")</f>
        <v>Eligible</v>
      </c>
    </row>
    <row r="247">
      <c r="A247" s="6" t="s">
        <v>524</v>
      </c>
      <c r="B247" s="6" t="s">
        <v>525</v>
      </c>
      <c r="C247" s="6" t="s">
        <v>56</v>
      </c>
      <c r="D247" s="7" t="str">
        <f>VLOOKUP(C247, Dept_Lookup!$A$2:$B$17, 2, FALSE)</f>
        <v>Civil</v>
      </c>
      <c r="E247" s="6">
        <v>97.0</v>
      </c>
      <c r="F247" s="6">
        <v>88.0</v>
      </c>
      <c r="G247" s="6">
        <v>87.0</v>
      </c>
      <c r="H247" s="8">
        <v>0.81</v>
      </c>
      <c r="I247" s="7">
        <v>45863.0</v>
      </c>
      <c r="J247" s="6" t="s">
        <v>21</v>
      </c>
      <c r="K247" s="8">
        <v>0.81</v>
      </c>
      <c r="L247" s="9">
        <f>E247*Scoring_Weights!$B$2 + F247*Scoring_Weights!$B$3 + G247*Scoring_Weights!$B$4</f>
        <v>88.85</v>
      </c>
      <c r="M247" s="6" t="str">
        <f>IF(AND(H247&gt;=(VLOOKUP(J247,Interview_Slots!$A$2:$D$5,4,FALSE)/100), L247&gt;=VLOOKUP(J247,Interview_Slots!$A$2:$D$5,3,FALSE)), "Eligible", "Not Eligible")</f>
        <v>Eligible</v>
      </c>
    </row>
    <row r="248">
      <c r="A248" s="6" t="s">
        <v>526</v>
      </c>
      <c r="B248" s="6" t="s">
        <v>527</v>
      </c>
      <c r="C248" s="6" t="s">
        <v>59</v>
      </c>
      <c r="D248" s="7" t="str">
        <f>VLOOKUP(C248, Dept_Lookup!$A$2:$B$17, 2, FALSE)</f>
        <v>Civil</v>
      </c>
      <c r="E248" s="6">
        <v>67.0</v>
      </c>
      <c r="F248" s="6">
        <v>63.0</v>
      </c>
      <c r="G248" s="6">
        <v>92.0</v>
      </c>
      <c r="H248" s="8">
        <v>0.88</v>
      </c>
      <c r="I248" s="7">
        <v>45887.0</v>
      </c>
      <c r="J248" s="6" t="s">
        <v>32</v>
      </c>
      <c r="K248" s="8">
        <v>0.79</v>
      </c>
      <c r="L248" s="9">
        <f>E248*Scoring_Weights!$B$2 + F248*Scoring_Weights!$B$3 + G248*Scoring_Weights!$B$4</f>
        <v>78.1</v>
      </c>
      <c r="M248" s="6" t="str">
        <f>IF(AND(H248&gt;=(VLOOKUP(J248,Interview_Slots!$A$2:$D$5,4,FALSE)/100), L248&gt;=VLOOKUP(J248,Interview_Slots!$A$2:$D$5,3,FALSE)), "Eligible", "Not Eligible")</f>
        <v>Eligible</v>
      </c>
    </row>
    <row r="249">
      <c r="A249" s="6" t="s">
        <v>528</v>
      </c>
      <c r="B249" s="6" t="s">
        <v>529</v>
      </c>
      <c r="C249" s="6" t="s">
        <v>62</v>
      </c>
      <c r="D249" s="7" t="str">
        <f>VLOOKUP(C249, Dept_Lookup!$A$2:$B$17, 2, FALSE)</f>
        <v>Civil</v>
      </c>
      <c r="E249" s="6">
        <v>82.0</v>
      </c>
      <c r="F249" s="6">
        <v>98.0</v>
      </c>
      <c r="G249" s="6">
        <v>93.0</v>
      </c>
      <c r="H249" s="8">
        <v>0.87</v>
      </c>
      <c r="I249" s="7">
        <v>45872.0</v>
      </c>
      <c r="J249" s="6" t="s">
        <v>17</v>
      </c>
      <c r="K249" s="8">
        <v>0.9</v>
      </c>
      <c r="L249" s="9">
        <f>E249*Scoring_Weights!$B$2 + F249*Scoring_Weights!$B$3 + G249*Scoring_Weights!$B$4</f>
        <v>93.1</v>
      </c>
      <c r="M249" s="6" t="str">
        <f>IF(AND(H249&gt;=(VLOOKUP(J249,Interview_Slots!$A$2:$D$5,4,FALSE)/100), L249&gt;=VLOOKUP(J249,Interview_Slots!$A$2:$D$5,3,FALSE)), "Eligible", "Not Eligible")</f>
        <v>Eligible</v>
      </c>
    </row>
    <row r="250">
      <c r="A250" s="6" t="s">
        <v>530</v>
      </c>
      <c r="B250" s="6" t="s">
        <v>531</v>
      </c>
      <c r="C250" s="6" t="s">
        <v>16</v>
      </c>
      <c r="D250" s="7" t="str">
        <f>VLOOKUP(C250, Dept_Lookup!$A$2:$B$17, 2, FALSE)</f>
        <v>Computer Science</v>
      </c>
      <c r="E250" s="6">
        <v>63.0</v>
      </c>
      <c r="F250" s="6">
        <v>81.0</v>
      </c>
      <c r="G250" s="6">
        <v>87.0</v>
      </c>
      <c r="H250" s="8">
        <v>0.9</v>
      </c>
      <c r="I250" s="11">
        <v>45898.0</v>
      </c>
      <c r="J250" s="6" t="s">
        <v>21</v>
      </c>
      <c r="K250" s="8">
        <v>0.83</v>
      </c>
      <c r="L250" s="9">
        <f>E250*Scoring_Weights!$B$2 + F250*Scoring_Weights!$B$3 + G250*Scoring_Weights!$B$4</f>
        <v>81.3</v>
      </c>
      <c r="M250" s="6" t="str">
        <f>IF(AND(H250&gt;=(VLOOKUP(J250,Interview_Slots!$A$2:$D$5,4,FALSE)/100), L250&gt;=VLOOKUP(J250,Interview_Slots!$A$2:$D$5,3,FALSE)), "Eligible", "Not Eligible")</f>
        <v>Eligible</v>
      </c>
    </row>
    <row r="251">
      <c r="A251" s="6" t="s">
        <v>532</v>
      </c>
      <c r="B251" s="6" t="s">
        <v>533</v>
      </c>
      <c r="C251" s="6" t="s">
        <v>20</v>
      </c>
      <c r="D251" s="7" t="str">
        <f>VLOOKUP(C251, Dept_Lookup!$A$2:$B$17, 2, FALSE)</f>
        <v>Computer Science</v>
      </c>
      <c r="E251" s="6">
        <v>71.0</v>
      </c>
      <c r="F251" s="6">
        <v>94.0</v>
      </c>
      <c r="G251" s="6">
        <v>74.0</v>
      </c>
      <c r="H251" s="8">
        <v>0.93</v>
      </c>
      <c r="I251" s="7">
        <v>45842.0</v>
      </c>
      <c r="J251" s="6" t="s">
        <v>21</v>
      </c>
      <c r="K251" s="8">
        <v>0.85</v>
      </c>
      <c r="L251" s="9">
        <f>E251*Scoring_Weights!$B$2 + F251*Scoring_Weights!$B$3 + G251*Scoring_Weights!$B$4</f>
        <v>80.55</v>
      </c>
      <c r="M251" s="6" t="str">
        <f>IF(AND(H251&gt;=(VLOOKUP(J251,Interview_Slots!$A$2:$D$5,4,FALSE)/100), L251&gt;=VLOOKUP(J251,Interview_Slots!$A$2:$D$5,3,FALSE)), "Eligible", "Not Eligible")</f>
        <v>Eligible</v>
      </c>
    </row>
    <row r="252">
      <c r="A252" s="6" t="s">
        <v>534</v>
      </c>
      <c r="B252" s="6" t="s">
        <v>535</v>
      </c>
      <c r="C252" s="6" t="s">
        <v>24</v>
      </c>
      <c r="D252" s="7" t="str">
        <f>VLOOKUP(C252, Dept_Lookup!$A$2:$B$17, 2, FALSE)</f>
        <v>Computer Science</v>
      </c>
      <c r="E252" s="6">
        <v>75.0</v>
      </c>
      <c r="F252" s="6">
        <v>72.0</v>
      </c>
      <c r="G252" s="6">
        <v>87.0</v>
      </c>
      <c r="H252" s="8">
        <v>0.75</v>
      </c>
      <c r="I252" s="7">
        <v>45870.0</v>
      </c>
      <c r="J252" s="6" t="s">
        <v>21</v>
      </c>
      <c r="K252" s="8">
        <v>0.87</v>
      </c>
      <c r="L252" s="9">
        <f>E252*Scoring_Weights!$B$2 + F252*Scoring_Weights!$B$3 + G252*Scoring_Weights!$B$4</f>
        <v>79.95</v>
      </c>
      <c r="M252" s="6" t="str">
        <f>IF(AND(H252&gt;=(VLOOKUP(J252,Interview_Slots!$A$2:$D$5,4,FALSE)/100), L252&gt;=VLOOKUP(J252,Interview_Slots!$A$2:$D$5,3,FALSE)), "Eligible", "Not Eligible")</f>
        <v>Not Eligible</v>
      </c>
    </row>
    <row r="253">
      <c r="A253" s="6" t="s">
        <v>536</v>
      </c>
      <c r="B253" s="6" t="s">
        <v>537</v>
      </c>
      <c r="C253" s="6" t="s">
        <v>28</v>
      </c>
      <c r="D253" s="7" t="str">
        <f>VLOOKUP(C253, Dept_Lookup!$A$2:$B$17, 2, FALSE)</f>
        <v>Computer Science</v>
      </c>
      <c r="E253" s="6">
        <v>80.0</v>
      </c>
      <c r="F253" s="6">
        <v>95.0</v>
      </c>
      <c r="G253" s="6">
        <v>63.0</v>
      </c>
      <c r="H253" s="8">
        <v>0.91</v>
      </c>
      <c r="I253" s="7">
        <v>45887.0</v>
      </c>
      <c r="J253" s="6" t="s">
        <v>25</v>
      </c>
      <c r="K253" s="8">
        <v>0.92</v>
      </c>
      <c r="L253" s="9">
        <f>E253*Scoring_Weights!$B$2 + F253*Scoring_Weights!$B$3 + G253*Scoring_Weights!$B$4</f>
        <v>76.75</v>
      </c>
      <c r="M253" s="6" t="str">
        <f>IF(AND(H253&gt;=(VLOOKUP(J253,Interview_Slots!$A$2:$D$5,4,FALSE)/100), L253&gt;=VLOOKUP(J253,Interview_Slots!$A$2:$D$5,3,FALSE)), "Eligible", "Not Eligible")</f>
        <v>Eligible</v>
      </c>
    </row>
    <row r="254">
      <c r="A254" s="6" t="s">
        <v>538</v>
      </c>
      <c r="B254" s="6" t="s">
        <v>539</v>
      </c>
      <c r="C254" s="6" t="s">
        <v>31</v>
      </c>
      <c r="D254" s="7" t="str">
        <f>VLOOKUP(C254, Dept_Lookup!$A$2:$B$17, 2, FALSE)</f>
        <v>Electronics</v>
      </c>
      <c r="E254" s="6">
        <v>91.0</v>
      </c>
      <c r="F254" s="6">
        <v>80.0</v>
      </c>
      <c r="G254" s="6">
        <v>59.0</v>
      </c>
      <c r="H254" s="8">
        <v>0.93</v>
      </c>
      <c r="I254" s="7">
        <v>45877.0</v>
      </c>
      <c r="J254" s="6" t="s">
        <v>25</v>
      </c>
      <c r="K254" s="8">
        <v>0.77</v>
      </c>
      <c r="L254" s="9">
        <f>E254*Scoring_Weights!$B$2 + F254*Scoring_Weights!$B$3 + G254*Scoring_Weights!$B$4</f>
        <v>71.15</v>
      </c>
      <c r="M254" s="6" t="str">
        <f>IF(AND(H254&gt;=(VLOOKUP(J254,Interview_Slots!$A$2:$D$5,4,FALSE)/100), L254&gt;=VLOOKUP(J254,Interview_Slots!$A$2:$D$5,3,FALSE)), "Eligible", "Not Eligible")</f>
        <v>Not Eligible</v>
      </c>
    </row>
    <row r="255">
      <c r="A255" s="6" t="s">
        <v>540</v>
      </c>
      <c r="B255" s="6" t="s">
        <v>541</v>
      </c>
      <c r="C255" s="6" t="s">
        <v>35</v>
      </c>
      <c r="D255" s="7" t="str">
        <f>VLOOKUP(C255, Dept_Lookup!$A$2:$B$17, 2, FALSE)</f>
        <v>Electronics</v>
      </c>
      <c r="E255" s="6">
        <v>91.0</v>
      </c>
      <c r="F255" s="6">
        <v>82.0</v>
      </c>
      <c r="G255" s="6">
        <v>65.0</v>
      </c>
      <c r="H255" s="8">
        <v>0.78</v>
      </c>
      <c r="I255" s="7">
        <v>45870.0</v>
      </c>
      <c r="J255" s="6" t="s">
        <v>25</v>
      </c>
      <c r="K255" s="8">
        <v>0.96</v>
      </c>
      <c r="L255" s="9">
        <f>E255*Scoring_Weights!$B$2 + F255*Scoring_Weights!$B$3 + G255*Scoring_Weights!$B$4</f>
        <v>74.85</v>
      </c>
      <c r="M255" s="6" t="str">
        <f>IF(AND(H255&gt;=(VLOOKUP(J255,Interview_Slots!$A$2:$D$5,4,FALSE)/100), L255&gt;=VLOOKUP(J255,Interview_Slots!$A$2:$D$5,3,FALSE)), "Eligible", "Not Eligible")</f>
        <v>Not Eligible</v>
      </c>
    </row>
    <row r="256">
      <c r="A256" s="6" t="s">
        <v>542</v>
      </c>
      <c r="B256" s="6" t="s">
        <v>543</v>
      </c>
      <c r="C256" s="6" t="s">
        <v>38</v>
      </c>
      <c r="D256" s="7" t="str">
        <f>VLOOKUP(C256, Dept_Lookup!$A$2:$B$17, 2, FALSE)</f>
        <v>Electronics</v>
      </c>
      <c r="E256" s="6">
        <v>78.0</v>
      </c>
      <c r="F256" s="6">
        <v>56.0</v>
      </c>
      <c r="G256" s="6">
        <v>79.0</v>
      </c>
      <c r="H256" s="8">
        <v>0.77</v>
      </c>
      <c r="I256" s="7">
        <v>45877.0</v>
      </c>
      <c r="J256" s="6" t="s">
        <v>17</v>
      </c>
      <c r="K256" s="8">
        <v>0.76</v>
      </c>
      <c r="L256" s="9">
        <f>E256*Scoring_Weights!$B$2 + F256*Scoring_Weights!$B$3 + G256*Scoring_Weights!$B$4</f>
        <v>70.8</v>
      </c>
      <c r="M256" s="6" t="str">
        <f>IF(AND(H256&gt;=(VLOOKUP(J256,Interview_Slots!$A$2:$D$5,4,FALSE)/100), L256&gt;=VLOOKUP(J256,Interview_Slots!$A$2:$D$5,3,FALSE)), "Eligible", "Not Eligible")</f>
        <v>Eligible</v>
      </c>
    </row>
    <row r="257">
      <c r="A257" s="6" t="s">
        <v>544</v>
      </c>
      <c r="B257" s="6" t="s">
        <v>545</v>
      </c>
      <c r="C257" s="6" t="s">
        <v>41</v>
      </c>
      <c r="D257" s="7" t="str">
        <f>VLOOKUP(C257, Dept_Lookup!$A$2:$B$17, 2, FALSE)</f>
        <v>Electronics</v>
      </c>
      <c r="E257" s="6">
        <v>98.0</v>
      </c>
      <c r="F257" s="6">
        <v>72.0</v>
      </c>
      <c r="G257" s="6">
        <v>58.0</v>
      </c>
      <c r="H257" s="8">
        <v>0.79</v>
      </c>
      <c r="I257" s="7">
        <v>45865.0</v>
      </c>
      <c r="J257" s="6" t="s">
        <v>32</v>
      </c>
      <c r="K257" s="8">
        <v>0.79</v>
      </c>
      <c r="L257" s="9">
        <f>E257*Scoring_Weights!$B$2 + F257*Scoring_Weights!$B$3 + G257*Scoring_Weights!$B$4</f>
        <v>68.9</v>
      </c>
      <c r="M257" s="6" t="str">
        <f>IF(AND(H257&gt;=(VLOOKUP(J257,Interview_Slots!$A$2:$D$5,4,FALSE)/100), L257&gt;=VLOOKUP(J257,Interview_Slots!$A$2:$D$5,3,FALSE)), "Eligible", "Not Eligible")</f>
        <v>Eligible</v>
      </c>
    </row>
    <row r="258">
      <c r="A258" s="6" t="s">
        <v>546</v>
      </c>
      <c r="B258" s="6" t="s">
        <v>547</v>
      </c>
      <c r="C258" s="6" t="s">
        <v>44</v>
      </c>
      <c r="D258" s="7" t="str">
        <f>VLOOKUP(C258, Dept_Lookup!$A$2:$B$17, 2, FALSE)</f>
        <v>Mechanical</v>
      </c>
      <c r="E258" s="6">
        <v>55.0</v>
      </c>
      <c r="F258" s="6">
        <v>71.0</v>
      </c>
      <c r="G258" s="6">
        <v>82.0</v>
      </c>
      <c r="H258" s="8">
        <v>0.95</v>
      </c>
      <c r="I258" s="11">
        <v>45898.0</v>
      </c>
      <c r="J258" s="6" t="s">
        <v>17</v>
      </c>
      <c r="K258" s="8">
        <v>0.78</v>
      </c>
      <c r="L258" s="9">
        <f>E258*Scoring_Weights!$B$2 + F258*Scoring_Weights!$B$3 + G258*Scoring_Weights!$B$4</f>
        <v>74.1</v>
      </c>
      <c r="M258" s="6" t="str">
        <f>IF(AND(H258&gt;=(VLOOKUP(J258,Interview_Slots!$A$2:$D$5,4,FALSE)/100), L258&gt;=VLOOKUP(J258,Interview_Slots!$A$2:$D$5,3,FALSE)), "Eligible", "Not Eligible")</f>
        <v>Eligible</v>
      </c>
    </row>
    <row r="259">
      <c r="A259" s="6" t="s">
        <v>548</v>
      </c>
      <c r="B259" s="6" t="s">
        <v>549</v>
      </c>
      <c r="C259" s="6" t="s">
        <v>47</v>
      </c>
      <c r="D259" s="7" t="str">
        <f>VLOOKUP(C259, Dept_Lookup!$A$2:$B$17, 2, FALSE)</f>
        <v>Mechanical</v>
      </c>
      <c r="E259" s="6">
        <v>75.0</v>
      </c>
      <c r="F259" s="6">
        <v>98.0</v>
      </c>
      <c r="G259" s="6">
        <v>87.0</v>
      </c>
      <c r="H259" s="8">
        <v>0.85</v>
      </c>
      <c r="I259" s="7">
        <v>45891.0</v>
      </c>
      <c r="J259" s="6" t="s">
        <v>17</v>
      </c>
      <c r="K259" s="8">
        <v>0.83</v>
      </c>
      <c r="L259" s="9">
        <f>E259*Scoring_Weights!$B$2 + F259*Scoring_Weights!$B$3 + G259*Scoring_Weights!$B$4</f>
        <v>89.05</v>
      </c>
      <c r="M259" s="6" t="str">
        <f>IF(AND(H259&gt;=(VLOOKUP(J259,Interview_Slots!$A$2:$D$5,4,FALSE)/100), L259&gt;=VLOOKUP(J259,Interview_Slots!$A$2:$D$5,3,FALSE)), "Eligible", "Not Eligible")</f>
        <v>Eligible</v>
      </c>
    </row>
    <row r="260">
      <c r="A260" s="6" t="s">
        <v>550</v>
      </c>
      <c r="B260" s="6" t="s">
        <v>551</v>
      </c>
      <c r="C260" s="6" t="s">
        <v>50</v>
      </c>
      <c r="D260" s="7" t="str">
        <f>VLOOKUP(C260, Dept_Lookup!$A$2:$B$17, 2, FALSE)</f>
        <v>Mechanical</v>
      </c>
      <c r="E260" s="6">
        <v>93.0</v>
      </c>
      <c r="F260" s="6">
        <v>77.0</v>
      </c>
      <c r="G260" s="6">
        <v>92.0</v>
      </c>
      <c r="H260" s="8">
        <v>0.84</v>
      </c>
      <c r="I260" s="7">
        <v>45860.0</v>
      </c>
      <c r="J260" s="6" t="s">
        <v>32</v>
      </c>
      <c r="K260" s="8">
        <v>0.76</v>
      </c>
      <c r="L260" s="9">
        <f>E260*Scoring_Weights!$B$2 + F260*Scoring_Weights!$B$3 + G260*Scoring_Weights!$B$4</f>
        <v>86.9</v>
      </c>
      <c r="M260" s="6" t="str">
        <f>IF(AND(H260&gt;=(VLOOKUP(J260,Interview_Slots!$A$2:$D$5,4,FALSE)/100), L260&gt;=VLOOKUP(J260,Interview_Slots!$A$2:$D$5,3,FALSE)), "Eligible", "Not Eligible")</f>
        <v>Eligible</v>
      </c>
    </row>
    <row r="261">
      <c r="A261" s="6" t="s">
        <v>552</v>
      </c>
      <c r="B261" s="6" t="s">
        <v>553</v>
      </c>
      <c r="C261" s="6" t="s">
        <v>53</v>
      </c>
      <c r="D261" s="7" t="str">
        <f>VLOOKUP(C261, Dept_Lookup!$A$2:$B$17, 2, FALSE)</f>
        <v>Mechanical</v>
      </c>
      <c r="E261" s="6">
        <v>71.0</v>
      </c>
      <c r="F261" s="6">
        <v>89.0</v>
      </c>
      <c r="G261" s="6">
        <v>68.0</v>
      </c>
      <c r="H261" s="8">
        <v>0.84</v>
      </c>
      <c r="I261" s="7">
        <v>45872.0</v>
      </c>
      <c r="J261" s="6" t="s">
        <v>32</v>
      </c>
      <c r="K261" s="8">
        <v>0.92</v>
      </c>
      <c r="L261" s="9">
        <f>E261*Scoring_Weights!$B$2 + F261*Scoring_Weights!$B$3 + G261*Scoring_Weights!$B$4</f>
        <v>75.8</v>
      </c>
      <c r="M261" s="6" t="str">
        <f>IF(AND(H261&gt;=(VLOOKUP(J261,Interview_Slots!$A$2:$D$5,4,FALSE)/100), L261&gt;=VLOOKUP(J261,Interview_Slots!$A$2:$D$5,3,FALSE)), "Eligible", "Not Eligible")</f>
        <v>Eligible</v>
      </c>
    </row>
    <row r="262">
      <c r="A262" s="6" t="s">
        <v>554</v>
      </c>
      <c r="B262" s="6" t="s">
        <v>555</v>
      </c>
      <c r="C262" s="6" t="s">
        <v>56</v>
      </c>
      <c r="D262" s="7" t="str">
        <f>VLOOKUP(C262, Dept_Lookup!$A$2:$B$17, 2, FALSE)</f>
        <v>Civil</v>
      </c>
      <c r="E262" s="6">
        <v>60.0</v>
      </c>
      <c r="F262" s="6">
        <v>87.0</v>
      </c>
      <c r="G262" s="6">
        <v>55.0</v>
      </c>
      <c r="H262" s="8">
        <v>0.82</v>
      </c>
      <c r="I262" s="7">
        <v>45872.0</v>
      </c>
      <c r="J262" s="6" t="s">
        <v>17</v>
      </c>
      <c r="K262" s="8">
        <v>0.89</v>
      </c>
      <c r="L262" s="9">
        <f>E262*Scoring_Weights!$B$2 + F262*Scoring_Weights!$B$3 + G262*Scoring_Weights!$B$4</f>
        <v>66.95</v>
      </c>
      <c r="M262" s="6" t="str">
        <f>IF(AND(H262&gt;=(VLOOKUP(J262,Interview_Slots!$A$2:$D$5,4,FALSE)/100), L262&gt;=VLOOKUP(J262,Interview_Slots!$A$2:$D$5,3,FALSE)), "Eligible", "Not Eligible")</f>
        <v>Eligible</v>
      </c>
    </row>
    <row r="263">
      <c r="A263" s="6" t="s">
        <v>556</v>
      </c>
      <c r="B263" s="6" t="s">
        <v>557</v>
      </c>
      <c r="C263" s="6" t="s">
        <v>59</v>
      </c>
      <c r="D263" s="7" t="str">
        <f>VLOOKUP(C263, Dept_Lookup!$A$2:$B$17, 2, FALSE)</f>
        <v>Civil</v>
      </c>
      <c r="E263" s="6">
        <v>96.0</v>
      </c>
      <c r="F263" s="6">
        <v>61.0</v>
      </c>
      <c r="G263" s="6">
        <v>68.0</v>
      </c>
      <c r="H263" s="8">
        <v>0.86</v>
      </c>
      <c r="I263" s="7">
        <v>45880.0</v>
      </c>
      <c r="J263" s="6" t="s">
        <v>21</v>
      </c>
      <c r="K263" s="8">
        <v>0.99</v>
      </c>
      <c r="L263" s="9">
        <f>E263*Scoring_Weights!$B$2 + F263*Scoring_Weights!$B$3 + G263*Scoring_Weights!$B$4</f>
        <v>69.75</v>
      </c>
      <c r="M263" s="6" t="str">
        <f>IF(AND(H263&gt;=(VLOOKUP(J263,Interview_Slots!$A$2:$D$5,4,FALSE)/100), L263&gt;=VLOOKUP(J263,Interview_Slots!$A$2:$D$5,3,FALSE)), "Eligible", "Not Eligible")</f>
        <v>Not Eligible</v>
      </c>
    </row>
    <row r="264">
      <c r="A264" s="6" t="s">
        <v>558</v>
      </c>
      <c r="B264" s="6" t="s">
        <v>559</v>
      </c>
      <c r="C264" s="6" t="s">
        <v>62</v>
      </c>
      <c r="D264" s="7" t="str">
        <f>VLOOKUP(C264, Dept_Lookup!$A$2:$B$17, 2, FALSE)</f>
        <v>Civil</v>
      </c>
      <c r="E264" s="6">
        <v>86.0</v>
      </c>
      <c r="F264" s="6">
        <v>90.0</v>
      </c>
      <c r="G264" s="6">
        <v>77.0</v>
      </c>
      <c r="H264" s="8">
        <v>0.87</v>
      </c>
      <c r="I264" s="7">
        <v>45880.0</v>
      </c>
      <c r="J264" s="6" t="s">
        <v>17</v>
      </c>
      <c r="K264" s="8">
        <v>0.81</v>
      </c>
      <c r="L264" s="9">
        <f>E264*Scoring_Weights!$B$2 + F264*Scoring_Weights!$B$3 + G264*Scoring_Weights!$B$4</f>
        <v>82.9</v>
      </c>
      <c r="M264" s="6" t="str">
        <f>IF(AND(H264&gt;=(VLOOKUP(J264,Interview_Slots!$A$2:$D$5,4,FALSE)/100), L264&gt;=VLOOKUP(J264,Interview_Slots!$A$2:$D$5,3,FALSE)), "Eligible", "Not Eligible")</f>
        <v>Eligible</v>
      </c>
    </row>
    <row r="265">
      <c r="A265" s="6" t="s">
        <v>560</v>
      </c>
      <c r="B265" s="6" t="s">
        <v>561</v>
      </c>
      <c r="C265" s="6" t="s">
        <v>65</v>
      </c>
      <c r="D265" s="7" t="str">
        <f>VLOOKUP(C265, Dept_Lookup!$A$2:$B$17, 2, FALSE)</f>
        <v>Civil</v>
      </c>
      <c r="E265" s="6">
        <v>74.0</v>
      </c>
      <c r="F265" s="6">
        <v>71.0</v>
      </c>
      <c r="G265" s="6">
        <v>84.0</v>
      </c>
      <c r="H265" s="8">
        <v>0.93</v>
      </c>
      <c r="I265" s="7">
        <v>45860.0</v>
      </c>
      <c r="J265" s="6" t="s">
        <v>21</v>
      </c>
      <c r="K265" s="8">
        <v>0.83</v>
      </c>
      <c r="L265" s="9">
        <f>E265*Scoring_Weights!$B$2 + F265*Scoring_Weights!$B$3 + G265*Scoring_Weights!$B$4</f>
        <v>77.95</v>
      </c>
      <c r="M265" s="6" t="str">
        <f>IF(AND(H265&gt;=(VLOOKUP(J265,Interview_Slots!$A$2:$D$5,4,FALSE)/100), L265&gt;=VLOOKUP(J265,Interview_Slots!$A$2:$D$5,3,FALSE)), "Eligible", "Not Eligible")</f>
        <v>Eligible</v>
      </c>
    </row>
    <row r="266">
      <c r="A266" s="6" t="s">
        <v>562</v>
      </c>
      <c r="B266" s="6" t="s">
        <v>563</v>
      </c>
      <c r="C266" s="6" t="s">
        <v>16</v>
      </c>
      <c r="D266" s="7" t="str">
        <f>VLOOKUP(C266, Dept_Lookup!$A$2:$B$17, 2, FALSE)</f>
        <v>Computer Science</v>
      </c>
      <c r="E266" s="6">
        <v>81.0</v>
      </c>
      <c r="F266" s="6">
        <v>97.0</v>
      </c>
      <c r="G266" s="6">
        <v>87.0</v>
      </c>
      <c r="H266" s="8">
        <v>0.89</v>
      </c>
      <c r="I266" s="7">
        <v>45865.0</v>
      </c>
      <c r="J266" s="6" t="s">
        <v>25</v>
      </c>
      <c r="K266" s="8">
        <v>0.94</v>
      </c>
      <c r="L266" s="9">
        <f>E266*Scoring_Weights!$B$2 + F266*Scoring_Weights!$B$3 + G266*Scoring_Weights!$B$4</f>
        <v>89.6</v>
      </c>
      <c r="M266" s="6" t="str">
        <f>IF(AND(H266&gt;=(VLOOKUP(J266,Interview_Slots!$A$2:$D$5,4,FALSE)/100), L266&gt;=VLOOKUP(J266,Interview_Slots!$A$2:$D$5,3,FALSE)), "Eligible", "Not Eligible")</f>
        <v>Eligible</v>
      </c>
    </row>
    <row r="267">
      <c r="A267" s="6" t="s">
        <v>564</v>
      </c>
      <c r="B267" s="6" t="s">
        <v>565</v>
      </c>
      <c r="C267" s="6" t="s">
        <v>20</v>
      </c>
      <c r="D267" s="7" t="str">
        <f>VLOOKUP(C267, Dept_Lookup!$A$2:$B$17, 2, FALSE)</f>
        <v>Computer Science</v>
      </c>
      <c r="E267" s="6">
        <v>73.0</v>
      </c>
      <c r="F267" s="6">
        <v>58.0</v>
      </c>
      <c r="G267" s="6">
        <v>80.0</v>
      </c>
      <c r="H267" s="8">
        <v>0.89</v>
      </c>
      <c r="I267" s="7">
        <v>45878.0</v>
      </c>
      <c r="J267" s="6" t="s">
        <v>25</v>
      </c>
      <c r="K267" s="8">
        <v>0.89</v>
      </c>
      <c r="L267" s="9">
        <f>E267*Scoring_Weights!$B$2 + F267*Scoring_Weights!$B$3 + G267*Scoring_Weights!$B$4</f>
        <v>71.25</v>
      </c>
      <c r="M267" s="6" t="str">
        <f>IF(AND(H267&gt;=(VLOOKUP(J267,Interview_Slots!$A$2:$D$5,4,FALSE)/100), L267&gt;=VLOOKUP(J267,Interview_Slots!$A$2:$D$5,3,FALSE)), "Eligible", "Not Eligible")</f>
        <v>Not Eligible</v>
      </c>
    </row>
    <row r="268">
      <c r="A268" s="6" t="s">
        <v>566</v>
      </c>
      <c r="B268" s="6" t="s">
        <v>567</v>
      </c>
      <c r="C268" s="6" t="s">
        <v>24</v>
      </c>
      <c r="D268" s="7" t="str">
        <f>VLOOKUP(C268, Dept_Lookup!$A$2:$B$17, 2, FALSE)</f>
        <v>Computer Science</v>
      </c>
      <c r="E268" s="6">
        <v>68.0</v>
      </c>
      <c r="F268" s="6">
        <v>75.0</v>
      </c>
      <c r="G268" s="6">
        <v>86.0</v>
      </c>
      <c r="H268" s="8">
        <v>0.89</v>
      </c>
      <c r="I268" s="7">
        <v>45913.0</v>
      </c>
      <c r="J268" s="6" t="s">
        <v>25</v>
      </c>
      <c r="K268" s="8">
        <v>0.82</v>
      </c>
      <c r="L268" s="9">
        <f>E268*Scoring_Weights!$B$2 + F268*Scoring_Weights!$B$3 + G268*Scoring_Weights!$B$4</f>
        <v>79.45</v>
      </c>
      <c r="M268" s="6" t="str">
        <f>IF(AND(H268&gt;=(VLOOKUP(J268,Interview_Slots!$A$2:$D$5,4,FALSE)/100), L268&gt;=VLOOKUP(J268,Interview_Slots!$A$2:$D$5,3,FALSE)), "Eligible", "Not Eligible")</f>
        <v>Eligible</v>
      </c>
    </row>
    <row r="269">
      <c r="A269" s="6" t="s">
        <v>568</v>
      </c>
      <c r="B269" s="6" t="s">
        <v>569</v>
      </c>
      <c r="C269" s="6" t="s">
        <v>28</v>
      </c>
      <c r="D269" s="7" t="str">
        <f>VLOOKUP(C269, Dept_Lookup!$A$2:$B$17, 2, FALSE)</f>
        <v>Computer Science</v>
      </c>
      <c r="E269" s="6">
        <v>62.0</v>
      </c>
      <c r="F269" s="6">
        <v>78.0</v>
      </c>
      <c r="G269" s="6">
        <v>61.0</v>
      </c>
      <c r="H269" s="8">
        <v>0.84</v>
      </c>
      <c r="I269" s="7">
        <v>45854.0</v>
      </c>
      <c r="J269" s="6" t="s">
        <v>17</v>
      </c>
      <c r="K269" s="8">
        <v>0.99</v>
      </c>
      <c r="L269" s="9">
        <f>E269*Scoring_Weights!$B$2 + F269*Scoring_Weights!$B$3 + G269*Scoring_Weights!$B$4</f>
        <v>67.1</v>
      </c>
      <c r="M269" s="6" t="str">
        <f>IF(AND(H269&gt;=(VLOOKUP(J269,Interview_Slots!$A$2:$D$5,4,FALSE)/100), L269&gt;=VLOOKUP(J269,Interview_Slots!$A$2:$D$5,3,FALSE)), "Eligible", "Not Eligible")</f>
        <v>Eligible</v>
      </c>
    </row>
    <row r="270">
      <c r="A270" s="6" t="s">
        <v>570</v>
      </c>
      <c r="B270" s="6" t="s">
        <v>571</v>
      </c>
      <c r="C270" s="6" t="s">
        <v>31</v>
      </c>
      <c r="D270" s="7" t="str">
        <f>VLOOKUP(C270, Dept_Lookup!$A$2:$B$17, 2, FALSE)</f>
        <v>Electronics</v>
      </c>
      <c r="E270" s="6">
        <v>61.0</v>
      </c>
      <c r="F270" s="6">
        <v>95.0</v>
      </c>
      <c r="G270" s="6">
        <v>91.0</v>
      </c>
      <c r="H270" s="8">
        <v>0.85</v>
      </c>
      <c r="I270" s="7">
        <v>45929.0</v>
      </c>
      <c r="J270" s="6" t="s">
        <v>32</v>
      </c>
      <c r="K270" s="8">
        <v>1.0</v>
      </c>
      <c r="L270" s="9">
        <f>E270*Scoring_Weights!$B$2 + F270*Scoring_Weights!$B$3 + G270*Scoring_Weights!$B$4</f>
        <v>87.9</v>
      </c>
      <c r="M270" s="6" t="str">
        <f>IF(AND(H270&gt;=(VLOOKUP(J270,Interview_Slots!$A$2:$D$5,4,FALSE)/100), L270&gt;=VLOOKUP(J270,Interview_Slots!$A$2:$D$5,3,FALSE)), "Eligible", "Not Eligible")</f>
        <v>Eligible</v>
      </c>
    </row>
    <row r="271">
      <c r="A271" s="6" t="s">
        <v>572</v>
      </c>
      <c r="B271" s="6" t="s">
        <v>573</v>
      </c>
      <c r="C271" s="6" t="s">
        <v>35</v>
      </c>
      <c r="D271" s="7" t="str">
        <f>VLOOKUP(C271, Dept_Lookup!$A$2:$B$17, 2, FALSE)</f>
        <v>Electronics</v>
      </c>
      <c r="E271" s="6">
        <v>60.0</v>
      </c>
      <c r="F271" s="6">
        <v>63.0</v>
      </c>
      <c r="G271" s="6">
        <v>62.0</v>
      </c>
      <c r="H271" s="8">
        <v>0.75</v>
      </c>
      <c r="I271" s="7">
        <v>45865.0</v>
      </c>
      <c r="J271" s="6" t="s">
        <v>17</v>
      </c>
      <c r="K271" s="8">
        <v>0.78</v>
      </c>
      <c r="L271" s="9">
        <f>E271*Scoring_Weights!$B$2 + F271*Scoring_Weights!$B$3 + G271*Scoring_Weights!$B$4</f>
        <v>62.05</v>
      </c>
      <c r="M271" s="6" t="str">
        <f>IF(AND(H271&gt;=(VLOOKUP(J271,Interview_Slots!$A$2:$D$5,4,FALSE)/100), L271&gt;=VLOOKUP(J271,Interview_Slots!$A$2:$D$5,3,FALSE)), "Eligible", "Not Eligible")</f>
        <v>Eligible</v>
      </c>
    </row>
    <row r="272">
      <c r="A272" s="6" t="s">
        <v>574</v>
      </c>
      <c r="B272" s="6" t="s">
        <v>575</v>
      </c>
      <c r="C272" s="6" t="s">
        <v>38</v>
      </c>
      <c r="D272" s="7" t="str">
        <f>VLOOKUP(C272, Dept_Lookup!$A$2:$B$17, 2, FALSE)</f>
        <v>Electronics</v>
      </c>
      <c r="E272" s="6">
        <v>65.0</v>
      </c>
      <c r="F272" s="6">
        <v>73.0</v>
      </c>
      <c r="G272" s="6">
        <v>79.0</v>
      </c>
      <c r="H272" s="8">
        <v>0.81</v>
      </c>
      <c r="I272" s="7">
        <v>45929.0</v>
      </c>
      <c r="J272" s="6" t="s">
        <v>21</v>
      </c>
      <c r="K272" s="8">
        <v>0.8</v>
      </c>
      <c r="L272" s="9">
        <f>E272*Scoring_Weights!$B$2 + F272*Scoring_Weights!$B$3 + G272*Scoring_Weights!$B$4</f>
        <v>74.8</v>
      </c>
      <c r="M272" s="6" t="str">
        <f>IF(AND(H272&gt;=(VLOOKUP(J272,Interview_Slots!$A$2:$D$5,4,FALSE)/100), L272&gt;=VLOOKUP(J272,Interview_Slots!$A$2:$D$5,3,FALSE)), "Eligible", "Not Eligible")</f>
        <v>Eligible</v>
      </c>
    </row>
    <row r="273">
      <c r="A273" s="6" t="s">
        <v>576</v>
      </c>
      <c r="B273" s="6" t="s">
        <v>577</v>
      </c>
      <c r="C273" s="6" t="s">
        <v>41</v>
      </c>
      <c r="D273" s="7" t="str">
        <f>VLOOKUP(C273, Dept_Lookup!$A$2:$B$17, 2, FALSE)</f>
        <v>Electronics</v>
      </c>
      <c r="E273" s="6">
        <v>68.0</v>
      </c>
      <c r="F273" s="6">
        <v>90.0</v>
      </c>
      <c r="G273" s="6">
        <v>98.0</v>
      </c>
      <c r="H273" s="8">
        <v>0.84</v>
      </c>
      <c r="I273" s="7">
        <v>45865.0</v>
      </c>
      <c r="J273" s="6" t="s">
        <v>32</v>
      </c>
      <c r="K273" s="8">
        <v>0.9</v>
      </c>
      <c r="L273" s="9">
        <f>E273*Scoring_Weights!$B$2 + F273*Scoring_Weights!$B$3 + G273*Scoring_Weights!$B$4</f>
        <v>90.7</v>
      </c>
      <c r="M273" s="6" t="str">
        <f>IF(AND(H273&gt;=(VLOOKUP(J273,Interview_Slots!$A$2:$D$5,4,FALSE)/100), L273&gt;=VLOOKUP(J273,Interview_Slots!$A$2:$D$5,3,FALSE)), "Eligible", "Not Eligible")</f>
        <v>Eligible</v>
      </c>
    </row>
    <row r="274">
      <c r="A274" s="6" t="s">
        <v>578</v>
      </c>
      <c r="B274" s="6" t="s">
        <v>579</v>
      </c>
      <c r="C274" s="6" t="s">
        <v>44</v>
      </c>
      <c r="D274" s="7" t="str">
        <f>VLOOKUP(C274, Dept_Lookup!$A$2:$B$17, 2, FALSE)</f>
        <v>Mechanical</v>
      </c>
      <c r="E274" s="6">
        <v>66.0</v>
      </c>
      <c r="F274" s="6">
        <v>76.0</v>
      </c>
      <c r="G274" s="6">
        <v>83.0</v>
      </c>
      <c r="H274" s="8">
        <v>0.75</v>
      </c>
      <c r="I274" s="7">
        <v>45865.0</v>
      </c>
      <c r="J274" s="6" t="s">
        <v>32</v>
      </c>
      <c r="K274" s="8">
        <v>0.81</v>
      </c>
      <c r="L274" s="9">
        <f>E274*Scoring_Weights!$B$2 + F274*Scoring_Weights!$B$3 + G274*Scoring_Weights!$B$4</f>
        <v>78</v>
      </c>
      <c r="M274" s="6" t="str">
        <f>IF(AND(H274&gt;=(VLOOKUP(J274,Interview_Slots!$A$2:$D$5,4,FALSE)/100), L274&gt;=VLOOKUP(J274,Interview_Slots!$A$2:$D$5,3,FALSE)), "Eligible", "Not Eligible")</f>
        <v>Eligible</v>
      </c>
    </row>
    <row r="275">
      <c r="A275" s="6" t="s">
        <v>580</v>
      </c>
      <c r="B275" s="6" t="s">
        <v>581</v>
      </c>
      <c r="C275" s="6" t="s">
        <v>47</v>
      </c>
      <c r="D275" s="7" t="str">
        <f>VLOOKUP(C275, Dept_Lookup!$A$2:$B$17, 2, FALSE)</f>
        <v>Mechanical</v>
      </c>
      <c r="E275" s="6">
        <v>55.0</v>
      </c>
      <c r="F275" s="6">
        <v>91.0</v>
      </c>
      <c r="G275" s="6">
        <v>58.0</v>
      </c>
      <c r="H275" s="8">
        <v>0.85</v>
      </c>
      <c r="I275" s="7">
        <v>45877.0</v>
      </c>
      <c r="J275" s="6" t="s">
        <v>17</v>
      </c>
      <c r="K275" s="8">
        <v>0.82</v>
      </c>
      <c r="L275" s="9">
        <f>E275*Scoring_Weights!$B$2 + F275*Scoring_Weights!$B$3 + G275*Scoring_Weights!$B$4</f>
        <v>69.1</v>
      </c>
      <c r="M275" s="6" t="str">
        <f>IF(AND(H275&gt;=(VLOOKUP(J275,Interview_Slots!$A$2:$D$5,4,FALSE)/100), L275&gt;=VLOOKUP(J275,Interview_Slots!$A$2:$D$5,3,FALSE)), "Eligible", "Not Eligible")</f>
        <v>Eligible</v>
      </c>
    </row>
    <row r="276">
      <c r="A276" s="6" t="s">
        <v>582</v>
      </c>
      <c r="B276" s="6" t="s">
        <v>583</v>
      </c>
      <c r="C276" s="6" t="s">
        <v>50</v>
      </c>
      <c r="D276" s="7" t="str">
        <f>VLOOKUP(C276, Dept_Lookup!$A$2:$B$17, 2, FALSE)</f>
        <v>Mechanical</v>
      </c>
      <c r="E276" s="6">
        <v>79.0</v>
      </c>
      <c r="F276" s="6">
        <v>64.0</v>
      </c>
      <c r="G276" s="6">
        <v>66.0</v>
      </c>
      <c r="H276" s="8">
        <v>0.86</v>
      </c>
      <c r="I276" s="7">
        <v>45865.0</v>
      </c>
      <c r="J276" s="6" t="s">
        <v>21</v>
      </c>
      <c r="K276" s="8">
        <v>0.97</v>
      </c>
      <c r="L276" s="9">
        <f>E276*Scoring_Weights!$B$2 + F276*Scoring_Weights!$B$3 + G276*Scoring_Weights!$B$4</f>
        <v>67.25</v>
      </c>
      <c r="M276" s="6" t="str">
        <f>IF(AND(H276&gt;=(VLOOKUP(J276,Interview_Slots!$A$2:$D$5,4,FALSE)/100), L276&gt;=VLOOKUP(J276,Interview_Slots!$A$2:$D$5,3,FALSE)), "Eligible", "Not Eligible")</f>
        <v>Not Eligible</v>
      </c>
    </row>
    <row r="277">
      <c r="A277" s="6" t="s">
        <v>584</v>
      </c>
      <c r="B277" s="6" t="s">
        <v>585</v>
      </c>
      <c r="C277" s="6" t="s">
        <v>53</v>
      </c>
      <c r="D277" s="7" t="str">
        <f>VLOOKUP(C277, Dept_Lookup!$A$2:$B$17, 2, FALSE)</f>
        <v>Mechanical</v>
      </c>
      <c r="E277" s="6">
        <v>93.0</v>
      </c>
      <c r="F277" s="6">
        <v>83.0</v>
      </c>
      <c r="G277" s="6">
        <v>64.0</v>
      </c>
      <c r="H277" s="8">
        <v>0.81</v>
      </c>
      <c r="I277" s="7">
        <v>45877.0</v>
      </c>
      <c r="J277" s="6" t="s">
        <v>21</v>
      </c>
      <c r="K277" s="8">
        <v>0.79</v>
      </c>
      <c r="L277" s="9">
        <f>E277*Scoring_Weights!$B$2 + F277*Scoring_Weights!$B$3 + G277*Scoring_Weights!$B$4</f>
        <v>75</v>
      </c>
      <c r="M277" s="6" t="str">
        <f>IF(AND(H277&gt;=(VLOOKUP(J277,Interview_Slots!$A$2:$D$5,4,FALSE)/100), L277&gt;=VLOOKUP(J277,Interview_Slots!$A$2:$D$5,3,FALSE)), "Eligible", "Not Eligible")</f>
        <v>Eligible</v>
      </c>
    </row>
    <row r="278">
      <c r="A278" s="6" t="s">
        <v>586</v>
      </c>
      <c r="B278" s="6" t="s">
        <v>587</v>
      </c>
      <c r="C278" s="6" t="s">
        <v>56</v>
      </c>
      <c r="D278" s="7" t="str">
        <f>VLOOKUP(C278, Dept_Lookup!$A$2:$B$17, 2, FALSE)</f>
        <v>Civil</v>
      </c>
      <c r="E278" s="6">
        <v>71.0</v>
      </c>
      <c r="F278" s="6">
        <v>81.0</v>
      </c>
      <c r="G278" s="6">
        <v>76.0</v>
      </c>
      <c r="H278" s="8">
        <v>0.93</v>
      </c>
      <c r="I278" s="7">
        <v>45872.0</v>
      </c>
      <c r="J278" s="6" t="s">
        <v>21</v>
      </c>
      <c r="K278" s="8">
        <v>0.85</v>
      </c>
      <c r="L278" s="9">
        <f>E278*Scoring_Weights!$B$2 + F278*Scoring_Weights!$B$3 + G278*Scoring_Weights!$B$4</f>
        <v>77</v>
      </c>
      <c r="M278" s="6" t="str">
        <f>IF(AND(H278&gt;=(VLOOKUP(J278,Interview_Slots!$A$2:$D$5,4,FALSE)/100), L278&gt;=VLOOKUP(J278,Interview_Slots!$A$2:$D$5,3,FALSE)), "Eligible", "Not Eligible")</f>
        <v>Eligible</v>
      </c>
    </row>
    <row r="279">
      <c r="A279" s="6" t="s">
        <v>588</v>
      </c>
      <c r="B279" s="6" t="s">
        <v>589</v>
      </c>
      <c r="C279" s="6" t="s">
        <v>59</v>
      </c>
      <c r="D279" s="7" t="str">
        <f>VLOOKUP(C279, Dept_Lookup!$A$2:$B$17, 2, FALSE)</f>
        <v>Civil</v>
      </c>
      <c r="E279" s="6">
        <v>77.0</v>
      </c>
      <c r="F279" s="6">
        <v>67.0</v>
      </c>
      <c r="G279" s="6">
        <v>63.0</v>
      </c>
      <c r="H279" s="8">
        <v>0.8</v>
      </c>
      <c r="I279" s="7">
        <v>45866.0</v>
      </c>
      <c r="J279" s="6" t="s">
        <v>25</v>
      </c>
      <c r="K279" s="8">
        <v>0.95</v>
      </c>
      <c r="L279" s="9">
        <f>E279*Scoring_Weights!$B$2 + F279*Scoring_Weights!$B$3 + G279*Scoring_Weights!$B$4</f>
        <v>66.5</v>
      </c>
      <c r="M279" s="6" t="str">
        <f>IF(AND(H279&gt;=(VLOOKUP(J279,Interview_Slots!$A$2:$D$5,4,FALSE)/100), L279&gt;=VLOOKUP(J279,Interview_Slots!$A$2:$D$5,3,FALSE)), "Eligible", "Not Eligible")</f>
        <v>Not Eligible</v>
      </c>
    </row>
    <row r="280">
      <c r="A280" s="6" t="s">
        <v>590</v>
      </c>
      <c r="B280" s="6" t="s">
        <v>591</v>
      </c>
      <c r="C280" s="6" t="s">
        <v>62</v>
      </c>
      <c r="D280" s="7" t="str">
        <f>VLOOKUP(C280, Dept_Lookup!$A$2:$B$17, 2, FALSE)</f>
        <v>Civil</v>
      </c>
      <c r="E280" s="6">
        <v>74.0</v>
      </c>
      <c r="F280" s="6">
        <v>84.0</v>
      </c>
      <c r="G280" s="6">
        <v>81.0</v>
      </c>
      <c r="H280" s="8">
        <v>0.94</v>
      </c>
      <c r="I280" s="7">
        <v>45870.0</v>
      </c>
      <c r="J280" s="6" t="s">
        <v>25</v>
      </c>
      <c r="K280" s="8">
        <v>0.86</v>
      </c>
      <c r="L280" s="9">
        <f>E280*Scoring_Weights!$B$2 + F280*Scoring_Weights!$B$3 + G280*Scoring_Weights!$B$4</f>
        <v>81</v>
      </c>
      <c r="M280" s="6" t="str">
        <f>IF(AND(H280&gt;=(VLOOKUP(J280,Interview_Slots!$A$2:$D$5,4,FALSE)/100), L280&gt;=VLOOKUP(J280,Interview_Slots!$A$2:$D$5,3,FALSE)), "Eligible", "Not Eligible")</f>
        <v>Eligible</v>
      </c>
    </row>
    <row r="281">
      <c r="A281" s="6" t="s">
        <v>592</v>
      </c>
      <c r="B281" s="6" t="s">
        <v>593</v>
      </c>
      <c r="C281" s="6" t="s">
        <v>16</v>
      </c>
      <c r="D281" s="7" t="str">
        <f>VLOOKUP(C281, Dept_Lookup!$A$2:$B$17, 2, FALSE)</f>
        <v>Computer Science</v>
      </c>
      <c r="E281" s="6">
        <v>68.0</v>
      </c>
      <c r="F281" s="6">
        <v>95.0</v>
      </c>
      <c r="G281" s="6">
        <v>67.0</v>
      </c>
      <c r="H281" s="8">
        <v>0.89</v>
      </c>
      <c r="I281" s="7">
        <v>45893.0</v>
      </c>
      <c r="J281" s="6" t="s">
        <v>25</v>
      </c>
      <c r="K281" s="8">
        <v>0.94</v>
      </c>
      <c r="L281" s="9">
        <f>E281*Scoring_Weights!$B$2 + F281*Scoring_Weights!$B$3 + G281*Scoring_Weights!$B$4</f>
        <v>76.95</v>
      </c>
      <c r="M281" s="6" t="str">
        <f>IF(AND(H281&gt;=(VLOOKUP(J281,Interview_Slots!$A$2:$D$5,4,FALSE)/100), L281&gt;=VLOOKUP(J281,Interview_Slots!$A$2:$D$5,3,FALSE)), "Eligible", "Not Eligible")</f>
        <v>Eligible</v>
      </c>
    </row>
    <row r="282">
      <c r="A282" s="6" t="s">
        <v>594</v>
      </c>
      <c r="B282" s="6" t="s">
        <v>595</v>
      </c>
      <c r="C282" s="6" t="s">
        <v>20</v>
      </c>
      <c r="D282" s="7" t="str">
        <f>VLOOKUP(C282, Dept_Lookup!$A$2:$B$17, 2, FALSE)</f>
        <v>Computer Science</v>
      </c>
      <c r="E282" s="6">
        <v>91.0</v>
      </c>
      <c r="F282" s="6">
        <v>89.0</v>
      </c>
      <c r="G282" s="6">
        <v>70.0</v>
      </c>
      <c r="H282" s="8">
        <v>0.85</v>
      </c>
      <c r="I282" s="7">
        <v>45882.0</v>
      </c>
      <c r="J282" s="6" t="s">
        <v>17</v>
      </c>
      <c r="K282" s="8">
        <v>1.0</v>
      </c>
      <c r="L282" s="9">
        <f>E282*Scoring_Weights!$B$2 + F282*Scoring_Weights!$B$3 + G282*Scoring_Weights!$B$4</f>
        <v>79.8</v>
      </c>
      <c r="M282" s="6" t="str">
        <f>IF(AND(H282&gt;=(VLOOKUP(J282,Interview_Slots!$A$2:$D$5,4,FALSE)/100), L282&gt;=VLOOKUP(J282,Interview_Slots!$A$2:$D$5,3,FALSE)), "Eligible", "Not Eligible")</f>
        <v>Eligible</v>
      </c>
    </row>
    <row r="283">
      <c r="A283" s="6" t="s">
        <v>596</v>
      </c>
      <c r="B283" s="6" t="s">
        <v>597</v>
      </c>
      <c r="C283" s="6" t="s">
        <v>24</v>
      </c>
      <c r="D283" s="7" t="str">
        <f>VLOOKUP(C283, Dept_Lookup!$A$2:$B$17, 2, FALSE)</f>
        <v>Computer Science</v>
      </c>
      <c r="E283" s="6">
        <v>73.0</v>
      </c>
      <c r="F283" s="6">
        <v>97.0</v>
      </c>
      <c r="G283" s="6">
        <v>83.0</v>
      </c>
      <c r="H283" s="8">
        <v>0.8</v>
      </c>
      <c r="I283" s="7">
        <v>45842.0</v>
      </c>
      <c r="J283" s="6" t="s">
        <v>32</v>
      </c>
      <c r="K283" s="8">
        <v>0.89</v>
      </c>
      <c r="L283" s="9">
        <f>E283*Scoring_Weights!$B$2 + F283*Scoring_Weights!$B$3 + G283*Scoring_Weights!$B$4</f>
        <v>86.4</v>
      </c>
      <c r="M283" s="6" t="str">
        <f>IF(AND(H283&gt;=(VLOOKUP(J283,Interview_Slots!$A$2:$D$5,4,FALSE)/100), L283&gt;=VLOOKUP(J283,Interview_Slots!$A$2:$D$5,3,FALSE)), "Eligible", "Not Eligible")</f>
        <v>Eligible</v>
      </c>
    </row>
    <row r="284">
      <c r="A284" s="6" t="s">
        <v>598</v>
      </c>
      <c r="B284" s="6" t="s">
        <v>599</v>
      </c>
      <c r="C284" s="6" t="s">
        <v>28</v>
      </c>
      <c r="D284" s="7" t="str">
        <f>VLOOKUP(C284, Dept_Lookup!$A$2:$B$17, 2, FALSE)</f>
        <v>Computer Science</v>
      </c>
      <c r="E284" s="6">
        <v>98.0</v>
      </c>
      <c r="F284" s="6">
        <v>98.0</v>
      </c>
      <c r="G284" s="6">
        <v>71.0</v>
      </c>
      <c r="H284" s="8">
        <v>0.82</v>
      </c>
      <c r="I284" s="7">
        <v>45854.0</v>
      </c>
      <c r="J284" s="6" t="s">
        <v>17</v>
      </c>
      <c r="K284" s="8">
        <v>0.87</v>
      </c>
      <c r="L284" s="9">
        <f>E284*Scoring_Weights!$B$2 + F284*Scoring_Weights!$B$3 + G284*Scoring_Weights!$B$4</f>
        <v>84.5</v>
      </c>
      <c r="M284" s="6" t="str">
        <f>IF(AND(H284&gt;=(VLOOKUP(J284,Interview_Slots!$A$2:$D$5,4,FALSE)/100), L284&gt;=VLOOKUP(J284,Interview_Slots!$A$2:$D$5,3,FALSE)), "Eligible", "Not Eligible")</f>
        <v>Eligible</v>
      </c>
    </row>
    <row r="285">
      <c r="A285" s="6" t="s">
        <v>600</v>
      </c>
      <c r="B285" s="6" t="s">
        <v>601</v>
      </c>
      <c r="C285" s="6" t="s">
        <v>31</v>
      </c>
      <c r="D285" s="7" t="str">
        <f>VLOOKUP(C285, Dept_Lookup!$A$2:$B$17, 2, FALSE)</f>
        <v>Electronics</v>
      </c>
      <c r="E285" s="6">
        <v>90.0</v>
      </c>
      <c r="F285" s="6">
        <v>62.0</v>
      </c>
      <c r="G285" s="6">
        <v>57.0</v>
      </c>
      <c r="H285" s="8">
        <v>0.77</v>
      </c>
      <c r="I285" s="7">
        <v>45882.0</v>
      </c>
      <c r="J285" s="6" t="s">
        <v>21</v>
      </c>
      <c r="K285" s="8">
        <v>0.96</v>
      </c>
      <c r="L285" s="9">
        <f>E285*Scoring_Weights!$B$2 + F285*Scoring_Weights!$B$3 + G285*Scoring_Weights!$B$4</f>
        <v>63.7</v>
      </c>
      <c r="M285" s="6" t="str">
        <f>IF(AND(H285&gt;=(VLOOKUP(J285,Interview_Slots!$A$2:$D$5,4,FALSE)/100), L285&gt;=VLOOKUP(J285,Interview_Slots!$A$2:$D$5,3,FALSE)), "Eligible", "Not Eligible")</f>
        <v>Not Eligible</v>
      </c>
    </row>
    <row r="286">
      <c r="A286" s="6" t="s">
        <v>602</v>
      </c>
      <c r="B286" s="6" t="s">
        <v>603</v>
      </c>
      <c r="C286" s="6" t="s">
        <v>35</v>
      </c>
      <c r="D286" s="7" t="str">
        <f>VLOOKUP(C286, Dept_Lookup!$A$2:$B$17, 2, FALSE)</f>
        <v>Electronics</v>
      </c>
      <c r="E286" s="6">
        <v>76.0</v>
      </c>
      <c r="F286" s="6">
        <v>76.0</v>
      </c>
      <c r="G286" s="6">
        <v>93.0</v>
      </c>
      <c r="H286" s="8">
        <v>0.85</v>
      </c>
      <c r="I286" s="7">
        <v>45868.0</v>
      </c>
      <c r="J286" s="6" t="s">
        <v>17</v>
      </c>
      <c r="K286" s="8">
        <v>0.76</v>
      </c>
      <c r="L286" s="9">
        <f>E286*Scoring_Weights!$B$2 + F286*Scoring_Weights!$B$3 + G286*Scoring_Weights!$B$4</f>
        <v>84.5</v>
      </c>
      <c r="M286" s="6" t="str">
        <f>IF(AND(H286&gt;=(VLOOKUP(J286,Interview_Slots!$A$2:$D$5,4,FALSE)/100), L286&gt;=VLOOKUP(J286,Interview_Slots!$A$2:$D$5,3,FALSE)), "Eligible", "Not Eligible")</f>
        <v>Eligible</v>
      </c>
    </row>
    <row r="287">
      <c r="A287" s="6" t="s">
        <v>604</v>
      </c>
      <c r="B287" s="6" t="s">
        <v>605</v>
      </c>
      <c r="C287" s="6" t="s">
        <v>38</v>
      </c>
      <c r="D287" s="7" t="str">
        <f>VLOOKUP(C287, Dept_Lookup!$A$2:$B$17, 2, FALSE)</f>
        <v>Electronics</v>
      </c>
      <c r="E287" s="6">
        <v>58.0</v>
      </c>
      <c r="F287" s="6">
        <v>86.0</v>
      </c>
      <c r="G287" s="6">
        <v>68.0</v>
      </c>
      <c r="H287" s="8">
        <v>0.92</v>
      </c>
      <c r="I287" s="7">
        <v>45893.0</v>
      </c>
      <c r="J287" s="6" t="s">
        <v>32</v>
      </c>
      <c r="K287" s="8">
        <v>0.77</v>
      </c>
      <c r="L287" s="9">
        <f>E287*Scoring_Weights!$B$2 + F287*Scoring_Weights!$B$3 + G287*Scoring_Weights!$B$4</f>
        <v>72.8</v>
      </c>
      <c r="M287" s="6" t="str">
        <f>IF(AND(H287&gt;=(VLOOKUP(J287,Interview_Slots!$A$2:$D$5,4,FALSE)/100), L287&gt;=VLOOKUP(J287,Interview_Slots!$A$2:$D$5,3,FALSE)), "Eligible", "Not Eligible")</f>
        <v>Eligible</v>
      </c>
    </row>
    <row r="288">
      <c r="A288" s="6" t="s">
        <v>606</v>
      </c>
      <c r="B288" s="6" t="s">
        <v>607</v>
      </c>
      <c r="C288" s="6" t="s">
        <v>41</v>
      </c>
      <c r="D288" s="7" t="str">
        <f>VLOOKUP(C288, Dept_Lookup!$A$2:$B$17, 2, FALSE)</f>
        <v>Electronics</v>
      </c>
      <c r="E288" s="6">
        <v>75.0</v>
      </c>
      <c r="F288" s="6">
        <v>81.0</v>
      </c>
      <c r="G288" s="6">
        <v>64.0</v>
      </c>
      <c r="H288" s="8">
        <v>0.81</v>
      </c>
      <c r="I288" s="7">
        <v>45882.0</v>
      </c>
      <c r="J288" s="6" t="s">
        <v>17</v>
      </c>
      <c r="K288" s="8">
        <v>0.79</v>
      </c>
      <c r="L288" s="9">
        <f>E288*Scoring_Weights!$B$2 + F288*Scoring_Weights!$B$3 + G288*Scoring_Weights!$B$4</f>
        <v>71.6</v>
      </c>
      <c r="M288" s="6" t="str">
        <f>IF(AND(H288&gt;=(VLOOKUP(J288,Interview_Slots!$A$2:$D$5,4,FALSE)/100), L288&gt;=VLOOKUP(J288,Interview_Slots!$A$2:$D$5,3,FALSE)), "Eligible", "Not Eligible")</f>
        <v>Eligible</v>
      </c>
    </row>
    <row r="289">
      <c r="A289" s="6" t="s">
        <v>608</v>
      </c>
      <c r="B289" s="6" t="s">
        <v>609</v>
      </c>
      <c r="C289" s="6" t="s">
        <v>44</v>
      </c>
      <c r="D289" s="7" t="str">
        <f>VLOOKUP(C289, Dept_Lookup!$A$2:$B$17, 2, FALSE)</f>
        <v>Mechanical</v>
      </c>
      <c r="E289" s="6">
        <v>96.0</v>
      </c>
      <c r="F289" s="6">
        <v>84.0</v>
      </c>
      <c r="G289" s="6">
        <v>55.0</v>
      </c>
      <c r="H289" s="8">
        <v>0.93</v>
      </c>
      <c r="I289" s="7">
        <v>45854.0</v>
      </c>
      <c r="J289" s="6" t="s">
        <v>21</v>
      </c>
      <c r="K289" s="8">
        <v>0.8</v>
      </c>
      <c r="L289" s="9">
        <f>E289*Scoring_Weights!$B$2 + F289*Scoring_Weights!$B$3 + G289*Scoring_Weights!$B$4</f>
        <v>71.3</v>
      </c>
      <c r="M289" s="6" t="str">
        <f>IF(AND(H289&gt;=(VLOOKUP(J289,Interview_Slots!$A$2:$D$5,4,FALSE)/100), L289&gt;=VLOOKUP(J289,Interview_Slots!$A$2:$D$5,3,FALSE)), "Eligible", "Not Eligible")</f>
        <v>Eligible</v>
      </c>
    </row>
    <row r="290">
      <c r="A290" s="6" t="s">
        <v>610</v>
      </c>
      <c r="B290" s="6" t="s">
        <v>611</v>
      </c>
      <c r="C290" s="6" t="s">
        <v>47</v>
      </c>
      <c r="D290" s="7" t="str">
        <f>VLOOKUP(C290, Dept_Lookup!$A$2:$B$17, 2, FALSE)</f>
        <v>Mechanical</v>
      </c>
      <c r="E290" s="6">
        <v>83.0</v>
      </c>
      <c r="F290" s="6">
        <v>73.0</v>
      </c>
      <c r="G290" s="6">
        <v>78.0</v>
      </c>
      <c r="H290" s="8">
        <v>0.82</v>
      </c>
      <c r="I290" s="7">
        <v>45865.0</v>
      </c>
      <c r="J290" s="6" t="s">
        <v>21</v>
      </c>
      <c r="K290" s="8">
        <v>0.99</v>
      </c>
      <c r="L290" s="9">
        <f>E290*Scoring_Weights!$B$2 + F290*Scoring_Weights!$B$3 + G290*Scoring_Weights!$B$4</f>
        <v>77</v>
      </c>
      <c r="M290" s="6" t="str">
        <f>IF(AND(H290&gt;=(VLOOKUP(J290,Interview_Slots!$A$2:$D$5,4,FALSE)/100), L290&gt;=VLOOKUP(J290,Interview_Slots!$A$2:$D$5,3,FALSE)), "Eligible", "Not Eligible")</f>
        <v>Eligible</v>
      </c>
    </row>
    <row r="291">
      <c r="A291" s="6" t="s">
        <v>612</v>
      </c>
      <c r="B291" s="6" t="s">
        <v>613</v>
      </c>
      <c r="C291" s="6" t="s">
        <v>50</v>
      </c>
      <c r="D291" s="7" t="str">
        <f>VLOOKUP(C291, Dept_Lookup!$A$2:$B$17, 2, FALSE)</f>
        <v>Mechanical</v>
      </c>
      <c r="E291" s="6">
        <v>89.0</v>
      </c>
      <c r="F291" s="6">
        <v>92.0</v>
      </c>
      <c r="G291" s="6">
        <v>61.0</v>
      </c>
      <c r="H291" s="8">
        <v>0.79</v>
      </c>
      <c r="I291" s="7">
        <v>45913.0</v>
      </c>
      <c r="J291" s="6" t="s">
        <v>21</v>
      </c>
      <c r="K291" s="8">
        <v>0.73</v>
      </c>
      <c r="L291" s="9">
        <f>E291*Scoring_Weights!$B$2 + F291*Scoring_Weights!$B$3 + G291*Scoring_Weights!$B$4</f>
        <v>76.05</v>
      </c>
      <c r="M291" s="6" t="str">
        <f>IF(AND(H291&gt;=(VLOOKUP(J291,Interview_Slots!$A$2:$D$5,4,FALSE)/100), L291&gt;=VLOOKUP(J291,Interview_Slots!$A$2:$D$5,3,FALSE)), "Eligible", "Not Eligible")</f>
        <v>Not Eligible</v>
      </c>
    </row>
    <row r="292">
      <c r="A292" s="6" t="s">
        <v>614</v>
      </c>
      <c r="B292" s="6" t="s">
        <v>615</v>
      </c>
      <c r="C292" s="6" t="s">
        <v>53</v>
      </c>
      <c r="D292" s="7" t="str">
        <f>VLOOKUP(C292, Dept_Lookup!$A$2:$B$17, 2, FALSE)</f>
        <v>Mechanical</v>
      </c>
      <c r="E292" s="6">
        <v>79.0</v>
      </c>
      <c r="F292" s="6">
        <v>77.0</v>
      </c>
      <c r="G292" s="6">
        <v>93.0</v>
      </c>
      <c r="H292" s="8">
        <v>0.76</v>
      </c>
      <c r="I292" s="7">
        <v>45878.0</v>
      </c>
      <c r="J292" s="6" t="s">
        <v>25</v>
      </c>
      <c r="K292" s="8">
        <v>0.85</v>
      </c>
      <c r="L292" s="9">
        <f>E292*Scoring_Weights!$B$2 + F292*Scoring_Weights!$B$3 + G292*Scoring_Weights!$B$4</f>
        <v>85.3</v>
      </c>
      <c r="M292" s="6" t="str">
        <f>IF(AND(H292&gt;=(VLOOKUP(J292,Interview_Slots!$A$2:$D$5,4,FALSE)/100), L292&gt;=VLOOKUP(J292,Interview_Slots!$A$2:$D$5,3,FALSE)), "Eligible", "Not Eligible")</f>
        <v>Not Eligible</v>
      </c>
    </row>
    <row r="293">
      <c r="A293" s="6" t="s">
        <v>616</v>
      </c>
      <c r="B293" s="6" t="s">
        <v>617</v>
      </c>
      <c r="C293" s="6" t="s">
        <v>56</v>
      </c>
      <c r="D293" s="7" t="str">
        <f>VLOOKUP(C293, Dept_Lookup!$A$2:$B$17, 2, FALSE)</f>
        <v>Civil</v>
      </c>
      <c r="E293" s="6">
        <v>80.0</v>
      </c>
      <c r="F293" s="6">
        <v>60.0</v>
      </c>
      <c r="G293" s="6">
        <v>70.0</v>
      </c>
      <c r="H293" s="8">
        <v>0.91</v>
      </c>
      <c r="I293" s="7">
        <v>45865.0</v>
      </c>
      <c r="J293" s="6" t="s">
        <v>25</v>
      </c>
      <c r="K293" s="8">
        <v>0.93</v>
      </c>
      <c r="L293" s="9">
        <f>E293*Scoring_Weights!$B$2 + F293*Scoring_Weights!$B$3 + G293*Scoring_Weights!$B$4</f>
        <v>68</v>
      </c>
      <c r="M293" s="6" t="str">
        <f>IF(AND(H293&gt;=(VLOOKUP(J293,Interview_Slots!$A$2:$D$5,4,FALSE)/100), L293&gt;=VLOOKUP(J293,Interview_Slots!$A$2:$D$5,3,FALSE)), "Eligible", "Not Eligible")</f>
        <v>Not Eligible</v>
      </c>
    </row>
    <row r="294">
      <c r="A294" s="6" t="s">
        <v>618</v>
      </c>
      <c r="B294" s="6" t="s">
        <v>619</v>
      </c>
      <c r="C294" s="6" t="s">
        <v>59</v>
      </c>
      <c r="D294" s="7" t="str">
        <f>VLOOKUP(C294, Dept_Lookup!$A$2:$B$17, 2, FALSE)</f>
        <v>Civil</v>
      </c>
      <c r="E294" s="6">
        <v>67.0</v>
      </c>
      <c r="F294" s="6">
        <v>77.0</v>
      </c>
      <c r="G294" s="6">
        <v>61.0</v>
      </c>
      <c r="H294" s="8">
        <v>0.75</v>
      </c>
      <c r="I294" s="7">
        <v>45887.0</v>
      </c>
      <c r="J294" s="6" t="s">
        <v>25</v>
      </c>
      <c r="K294" s="8">
        <v>0.86</v>
      </c>
      <c r="L294" s="9">
        <f>E294*Scoring_Weights!$B$2 + F294*Scoring_Weights!$B$3 + G294*Scoring_Weights!$B$4</f>
        <v>67.5</v>
      </c>
      <c r="M294" s="6" t="str">
        <f>IF(AND(H294&gt;=(VLOOKUP(J294,Interview_Slots!$A$2:$D$5,4,FALSE)/100), L294&gt;=VLOOKUP(J294,Interview_Slots!$A$2:$D$5,3,FALSE)), "Eligible", "Not Eligible")</f>
        <v>Not Eligible</v>
      </c>
    </row>
    <row r="295">
      <c r="A295" s="6" t="s">
        <v>620</v>
      </c>
      <c r="B295" s="6" t="s">
        <v>621</v>
      </c>
      <c r="C295" s="6" t="s">
        <v>62</v>
      </c>
      <c r="D295" s="7" t="str">
        <f>VLOOKUP(C295, Dept_Lookup!$A$2:$B$17, 2, FALSE)</f>
        <v>Civil</v>
      </c>
      <c r="E295" s="6">
        <v>76.0</v>
      </c>
      <c r="F295" s="6">
        <v>56.0</v>
      </c>
      <c r="G295" s="6">
        <v>83.0</v>
      </c>
      <c r="H295" s="8">
        <v>0.83</v>
      </c>
      <c r="I295" s="7">
        <v>45913.0</v>
      </c>
      <c r="J295" s="6" t="s">
        <v>17</v>
      </c>
      <c r="K295" s="8">
        <v>0.77</v>
      </c>
      <c r="L295" s="9">
        <f>E295*Scoring_Weights!$B$2 + F295*Scoring_Weights!$B$3 + G295*Scoring_Weights!$B$4</f>
        <v>72.5</v>
      </c>
      <c r="M295" s="6" t="str">
        <f>IF(AND(H295&gt;=(VLOOKUP(J295,Interview_Slots!$A$2:$D$5,4,FALSE)/100), L295&gt;=VLOOKUP(J295,Interview_Slots!$A$2:$D$5,3,FALSE)), "Eligible", "Not Eligible")</f>
        <v>Eligible</v>
      </c>
    </row>
    <row r="296">
      <c r="A296" s="6" t="s">
        <v>622</v>
      </c>
      <c r="B296" s="6" t="s">
        <v>623</v>
      </c>
      <c r="C296" s="6" t="s">
        <v>65</v>
      </c>
      <c r="D296" s="7" t="str">
        <f>VLOOKUP(C296, Dept_Lookup!$A$2:$B$17, 2, FALSE)</f>
        <v>Civil</v>
      </c>
      <c r="E296" s="6">
        <v>83.0</v>
      </c>
      <c r="F296" s="6">
        <v>73.0</v>
      </c>
      <c r="G296" s="6">
        <v>91.0</v>
      </c>
      <c r="H296" s="8">
        <v>0.87</v>
      </c>
      <c r="I296" s="7">
        <v>45854.0</v>
      </c>
      <c r="J296" s="6" t="s">
        <v>32</v>
      </c>
      <c r="K296" s="8">
        <v>0.97</v>
      </c>
      <c r="L296" s="9">
        <f>E296*Scoring_Weights!$B$2 + F296*Scoring_Weights!$B$3 + G296*Scoring_Weights!$B$4</f>
        <v>83.5</v>
      </c>
      <c r="M296" s="6" t="str">
        <f>IF(AND(H296&gt;=(VLOOKUP(J296,Interview_Slots!$A$2:$D$5,4,FALSE)/100), L296&gt;=VLOOKUP(J296,Interview_Slots!$A$2:$D$5,3,FALSE)), "Eligible", "Not Eligible")</f>
        <v>Eligible</v>
      </c>
    </row>
    <row r="297">
      <c r="A297" s="6" t="s">
        <v>624</v>
      </c>
      <c r="B297" s="6" t="s">
        <v>625</v>
      </c>
      <c r="C297" s="6" t="s">
        <v>16</v>
      </c>
      <c r="D297" s="7" t="str">
        <f>VLOOKUP(C297, Dept_Lookup!$A$2:$B$17, 2, FALSE)</f>
        <v>Computer Science</v>
      </c>
      <c r="E297" s="6">
        <v>76.0</v>
      </c>
      <c r="F297" s="6">
        <v>85.0</v>
      </c>
      <c r="G297" s="6">
        <v>57.0</v>
      </c>
      <c r="H297" s="8">
        <v>0.8</v>
      </c>
      <c r="I297" s="7">
        <v>45877.0</v>
      </c>
      <c r="J297" s="6" t="s">
        <v>17</v>
      </c>
      <c r="K297" s="8">
        <v>0.73</v>
      </c>
      <c r="L297" s="9">
        <f>E297*Scoring_Weights!$B$2 + F297*Scoring_Weights!$B$3 + G297*Scoring_Weights!$B$4</f>
        <v>69.65</v>
      </c>
      <c r="M297" s="6" t="str">
        <f>IF(AND(H297&gt;=(VLOOKUP(J297,Interview_Slots!$A$2:$D$5,4,FALSE)/100), L297&gt;=VLOOKUP(J297,Interview_Slots!$A$2:$D$5,3,FALSE)), "Eligible", "Not Eligible")</f>
        <v>Eligible</v>
      </c>
    </row>
    <row r="298">
      <c r="A298" s="6" t="s">
        <v>626</v>
      </c>
      <c r="B298" s="6" t="s">
        <v>627</v>
      </c>
      <c r="C298" s="6" t="s">
        <v>20</v>
      </c>
      <c r="D298" s="7" t="str">
        <f>VLOOKUP(C298, Dept_Lookup!$A$2:$B$17, 2, FALSE)</f>
        <v>Computer Science</v>
      </c>
      <c r="E298" s="6">
        <v>84.0</v>
      </c>
      <c r="F298" s="6">
        <v>94.0</v>
      </c>
      <c r="G298" s="6">
        <v>84.0</v>
      </c>
      <c r="H298" s="8">
        <v>0.95</v>
      </c>
      <c r="I298" s="7">
        <v>45866.0</v>
      </c>
      <c r="J298" s="6" t="s">
        <v>25</v>
      </c>
      <c r="K298" s="8">
        <v>0.78</v>
      </c>
      <c r="L298" s="9">
        <f>E298*Scoring_Weights!$B$2 + F298*Scoring_Weights!$B$3 + G298*Scoring_Weights!$B$4</f>
        <v>87.5</v>
      </c>
      <c r="M298" s="6" t="str">
        <f>IF(AND(H298&gt;=(VLOOKUP(J298,Interview_Slots!$A$2:$D$5,4,FALSE)/100), L298&gt;=VLOOKUP(J298,Interview_Slots!$A$2:$D$5,3,FALSE)), "Eligible", "Not Eligible")</f>
        <v>Eligible</v>
      </c>
    </row>
    <row r="299">
      <c r="A299" s="6" t="s">
        <v>628</v>
      </c>
      <c r="B299" s="6" t="s">
        <v>629</v>
      </c>
      <c r="C299" s="6" t="s">
        <v>24</v>
      </c>
      <c r="D299" s="7" t="str">
        <f>VLOOKUP(C299, Dept_Lookup!$A$2:$B$17, 2, FALSE)</f>
        <v>Computer Science</v>
      </c>
      <c r="E299" s="6">
        <v>82.0</v>
      </c>
      <c r="F299" s="6">
        <v>66.0</v>
      </c>
      <c r="G299" s="6">
        <v>87.0</v>
      </c>
      <c r="H299" s="8">
        <v>0.81</v>
      </c>
      <c r="I299" s="7">
        <v>45870.0</v>
      </c>
      <c r="J299" s="6" t="s">
        <v>32</v>
      </c>
      <c r="K299" s="8">
        <v>0.94</v>
      </c>
      <c r="L299" s="9">
        <f>E299*Scoring_Weights!$B$2 + F299*Scoring_Weights!$B$3 + G299*Scoring_Weights!$B$4</f>
        <v>78.9</v>
      </c>
      <c r="M299" s="6" t="str">
        <f>IF(AND(H299&gt;=(VLOOKUP(J299,Interview_Slots!$A$2:$D$5,4,FALSE)/100), L299&gt;=VLOOKUP(J299,Interview_Slots!$A$2:$D$5,3,FALSE)), "Eligible", "Not Eligible")</f>
        <v>Eligible</v>
      </c>
    </row>
    <row r="300">
      <c r="A300" s="6" t="s">
        <v>630</v>
      </c>
      <c r="B300" s="6" t="s">
        <v>631</v>
      </c>
      <c r="C300" s="6" t="s">
        <v>28</v>
      </c>
      <c r="D300" s="7" t="str">
        <f>VLOOKUP(C300, Dept_Lookup!$A$2:$B$17, 2, FALSE)</f>
        <v>Computer Science</v>
      </c>
      <c r="E300" s="6">
        <v>72.0</v>
      </c>
      <c r="F300" s="6">
        <v>94.0</v>
      </c>
      <c r="G300" s="6">
        <v>75.0</v>
      </c>
      <c r="H300" s="8">
        <v>0.93</v>
      </c>
      <c r="I300" s="7">
        <v>45865.0</v>
      </c>
      <c r="J300" s="6" t="s">
        <v>32</v>
      </c>
      <c r="K300" s="8">
        <v>0.93</v>
      </c>
      <c r="L300" s="9">
        <f>E300*Scoring_Weights!$B$2 + F300*Scoring_Weights!$B$3 + G300*Scoring_Weights!$B$4</f>
        <v>81.2</v>
      </c>
      <c r="M300" s="6" t="str">
        <f>IF(AND(H300&gt;=(VLOOKUP(J300,Interview_Slots!$A$2:$D$5,4,FALSE)/100), L300&gt;=VLOOKUP(J300,Interview_Slots!$A$2:$D$5,3,FALSE)), "Eligible", "Not Eligible")</f>
        <v>Eligible</v>
      </c>
    </row>
    <row r="301">
      <c r="A301" s="6" t="s">
        <v>632</v>
      </c>
      <c r="B301" s="6" t="s">
        <v>633</v>
      </c>
      <c r="C301" s="6" t="s">
        <v>31</v>
      </c>
      <c r="D301" s="7" t="str">
        <f>VLOOKUP(C301, Dept_Lookup!$A$2:$B$17, 2, FALSE)</f>
        <v>Electronics</v>
      </c>
      <c r="E301" s="6">
        <v>76.0</v>
      </c>
      <c r="F301" s="6">
        <v>87.0</v>
      </c>
      <c r="G301" s="6">
        <v>65.0</v>
      </c>
      <c r="H301" s="8">
        <v>0.88</v>
      </c>
      <c r="I301" s="7">
        <v>45865.0</v>
      </c>
      <c r="J301" s="6" t="s">
        <v>17</v>
      </c>
      <c r="K301" s="8">
        <v>0.91</v>
      </c>
      <c r="L301" s="9">
        <f>E301*Scoring_Weights!$B$2 + F301*Scoring_Weights!$B$3 + G301*Scoring_Weights!$B$4</f>
        <v>74.35</v>
      </c>
      <c r="M301" s="6" t="str">
        <f>IF(AND(H301&gt;=(VLOOKUP(J301,Interview_Slots!$A$2:$D$5,4,FALSE)/100), L301&gt;=VLOOKUP(J301,Interview_Slots!$A$2:$D$5,3,FALSE)), "Eligible", "Not Eligible")</f>
        <v>Eligible</v>
      </c>
    </row>
    <row r="302">
      <c r="A302" s="6" t="s">
        <v>634</v>
      </c>
      <c r="B302" s="6" t="s">
        <v>635</v>
      </c>
      <c r="C302" s="6" t="s">
        <v>35</v>
      </c>
      <c r="D302" s="7" t="str">
        <f>VLOOKUP(C302, Dept_Lookup!$A$2:$B$17, 2, FALSE)</f>
        <v>Electronics</v>
      </c>
      <c r="E302" s="6">
        <v>83.0</v>
      </c>
      <c r="F302" s="6">
        <v>69.0</v>
      </c>
      <c r="G302" s="6">
        <v>64.0</v>
      </c>
      <c r="H302" s="8">
        <v>0.89</v>
      </c>
      <c r="I302" s="7">
        <v>45880.0</v>
      </c>
      <c r="J302" s="6" t="s">
        <v>21</v>
      </c>
      <c r="K302" s="8">
        <v>0.79</v>
      </c>
      <c r="L302" s="9">
        <f>E302*Scoring_Weights!$B$2 + F302*Scoring_Weights!$B$3 + G302*Scoring_Weights!$B$4</f>
        <v>68.6</v>
      </c>
      <c r="M302" s="6" t="str">
        <f>IF(AND(H302&gt;=(VLOOKUP(J302,Interview_Slots!$A$2:$D$5,4,FALSE)/100), L302&gt;=VLOOKUP(J302,Interview_Slots!$A$2:$D$5,3,FALSE)), "Eligible", "Not Eligible")</f>
        <v>Not Eligible</v>
      </c>
    </row>
    <row r="303">
      <c r="A303" s="6" t="s">
        <v>636</v>
      </c>
      <c r="B303" s="6" t="s">
        <v>637</v>
      </c>
      <c r="C303" s="6" t="s">
        <v>38</v>
      </c>
      <c r="D303" s="7" t="str">
        <f>VLOOKUP(C303, Dept_Lookup!$A$2:$B$17, 2, FALSE)</f>
        <v>Electronics</v>
      </c>
      <c r="E303" s="6">
        <v>76.0</v>
      </c>
      <c r="F303" s="6">
        <v>92.0</v>
      </c>
      <c r="G303" s="6">
        <v>64.0</v>
      </c>
      <c r="H303" s="8">
        <v>0.79</v>
      </c>
      <c r="I303" s="7">
        <v>45893.0</v>
      </c>
      <c r="J303" s="6" t="s">
        <v>21</v>
      </c>
      <c r="K303" s="8">
        <v>0.75</v>
      </c>
      <c r="L303" s="9">
        <f>E303*Scoring_Weights!$B$2 + F303*Scoring_Weights!$B$3 + G303*Scoring_Weights!$B$4</f>
        <v>75.6</v>
      </c>
      <c r="M303" s="6" t="str">
        <f>IF(AND(H303&gt;=(VLOOKUP(J303,Interview_Slots!$A$2:$D$5,4,FALSE)/100), L303&gt;=VLOOKUP(J303,Interview_Slots!$A$2:$D$5,3,FALSE)), "Eligible", "Not Eligible")</f>
        <v>Not Eligible</v>
      </c>
    </row>
    <row r="304">
      <c r="A304" s="6" t="s">
        <v>638</v>
      </c>
      <c r="B304" s="6" t="s">
        <v>639</v>
      </c>
      <c r="C304" s="6" t="s">
        <v>41</v>
      </c>
      <c r="D304" s="7" t="str">
        <f>VLOOKUP(C304, Dept_Lookup!$A$2:$B$17, 2, FALSE)</f>
        <v>Electronics</v>
      </c>
      <c r="E304" s="6">
        <v>94.0</v>
      </c>
      <c r="F304" s="6">
        <v>92.0</v>
      </c>
      <c r="G304" s="6">
        <v>82.0</v>
      </c>
      <c r="H304" s="8">
        <v>0.76</v>
      </c>
      <c r="I304" s="7">
        <v>45902.0</v>
      </c>
      <c r="J304" s="6" t="s">
        <v>32</v>
      </c>
      <c r="K304" s="8">
        <v>0.8</v>
      </c>
      <c r="L304" s="9">
        <f>E304*Scoring_Weights!$B$2 + F304*Scoring_Weights!$B$3 + G304*Scoring_Weights!$B$4</f>
        <v>87.3</v>
      </c>
      <c r="M304" s="6" t="str">
        <f>IF(AND(H304&gt;=(VLOOKUP(J304,Interview_Slots!$A$2:$D$5,4,FALSE)/100), L304&gt;=VLOOKUP(J304,Interview_Slots!$A$2:$D$5,3,FALSE)), "Eligible", "Not Eligible")</f>
        <v>Eligible</v>
      </c>
    </row>
    <row r="305">
      <c r="A305" s="6" t="s">
        <v>640</v>
      </c>
      <c r="B305" s="6" t="s">
        <v>641</v>
      </c>
      <c r="C305" s="6" t="s">
        <v>44</v>
      </c>
      <c r="D305" s="7" t="str">
        <f>VLOOKUP(C305, Dept_Lookup!$A$2:$B$17, 2, FALSE)</f>
        <v>Mechanical</v>
      </c>
      <c r="E305" s="6">
        <v>81.0</v>
      </c>
      <c r="F305" s="6">
        <v>60.0</v>
      </c>
      <c r="G305" s="6">
        <v>86.0</v>
      </c>
      <c r="H305" s="8">
        <v>0.84</v>
      </c>
      <c r="I305" s="7">
        <v>45878.0</v>
      </c>
      <c r="J305" s="6" t="s">
        <v>25</v>
      </c>
      <c r="K305" s="8">
        <v>0.82</v>
      </c>
      <c r="L305" s="9">
        <f>E305*Scoring_Weights!$B$2 + F305*Scoring_Weights!$B$3 + G305*Scoring_Weights!$B$4</f>
        <v>76.15</v>
      </c>
      <c r="M305" s="6" t="str">
        <f>IF(AND(H305&gt;=(VLOOKUP(J305,Interview_Slots!$A$2:$D$5,4,FALSE)/100), L305&gt;=VLOOKUP(J305,Interview_Slots!$A$2:$D$5,3,FALSE)), "Eligible", "Not Eligible")</f>
        <v>Not Eligible</v>
      </c>
    </row>
    <row r="306">
      <c r="A306" s="6" t="s">
        <v>642</v>
      </c>
      <c r="B306" s="6" t="s">
        <v>643</v>
      </c>
      <c r="C306" s="6" t="s">
        <v>47</v>
      </c>
      <c r="D306" s="7" t="str">
        <f>VLOOKUP(C306, Dept_Lookup!$A$2:$B$17, 2, FALSE)</f>
        <v>Mechanical</v>
      </c>
      <c r="E306" s="6">
        <v>98.0</v>
      </c>
      <c r="F306" s="6">
        <v>67.0</v>
      </c>
      <c r="G306" s="6">
        <v>82.0</v>
      </c>
      <c r="H306" s="8">
        <v>0.91</v>
      </c>
      <c r="I306" s="7">
        <v>45887.0</v>
      </c>
      <c r="J306" s="6" t="s">
        <v>25</v>
      </c>
      <c r="K306" s="8">
        <v>0.79</v>
      </c>
      <c r="L306" s="9">
        <f>E306*Scoring_Weights!$B$2 + F306*Scoring_Weights!$B$3 + G306*Scoring_Weights!$B$4</f>
        <v>79.15</v>
      </c>
      <c r="M306" s="6" t="str">
        <f>IF(AND(H306&gt;=(VLOOKUP(J306,Interview_Slots!$A$2:$D$5,4,FALSE)/100), L306&gt;=VLOOKUP(J306,Interview_Slots!$A$2:$D$5,3,FALSE)), "Eligible", "Not Eligible")</f>
        <v>Eligible</v>
      </c>
    </row>
    <row r="307">
      <c r="A307" s="6" t="s">
        <v>644</v>
      </c>
      <c r="B307" s="6" t="s">
        <v>645</v>
      </c>
      <c r="C307" s="6" t="s">
        <v>50</v>
      </c>
      <c r="D307" s="7" t="str">
        <f>VLOOKUP(C307, Dept_Lookup!$A$2:$B$17, 2, FALSE)</f>
        <v>Mechanical</v>
      </c>
      <c r="E307" s="6">
        <v>70.0</v>
      </c>
      <c r="F307" s="6">
        <v>95.0</v>
      </c>
      <c r="G307" s="6">
        <v>66.0</v>
      </c>
      <c r="H307" s="8">
        <v>0.83</v>
      </c>
      <c r="I307" s="7">
        <v>45893.0</v>
      </c>
      <c r="J307" s="6" t="s">
        <v>25</v>
      </c>
      <c r="K307" s="8">
        <v>0.83</v>
      </c>
      <c r="L307" s="9">
        <f>E307*Scoring_Weights!$B$2 + F307*Scoring_Weights!$B$3 + G307*Scoring_Weights!$B$4</f>
        <v>76.75</v>
      </c>
      <c r="M307" s="6" t="str">
        <f>IF(AND(H307&gt;=(VLOOKUP(J307,Interview_Slots!$A$2:$D$5,4,FALSE)/100), L307&gt;=VLOOKUP(J307,Interview_Slots!$A$2:$D$5,3,FALSE)), "Eligible", "Not Eligible")</f>
        <v>Not Eligible</v>
      </c>
    </row>
    <row r="308">
      <c r="A308" s="6" t="s">
        <v>646</v>
      </c>
      <c r="B308" s="6" t="s">
        <v>647</v>
      </c>
      <c r="C308" s="6" t="s">
        <v>53</v>
      </c>
      <c r="D308" s="7" t="str">
        <f>VLOOKUP(C308, Dept_Lookup!$A$2:$B$17, 2, FALSE)</f>
        <v>Mechanical</v>
      </c>
      <c r="E308" s="6">
        <v>98.0</v>
      </c>
      <c r="F308" s="6">
        <v>95.0</v>
      </c>
      <c r="G308" s="6">
        <v>76.0</v>
      </c>
      <c r="H308" s="8">
        <v>0.91</v>
      </c>
      <c r="I308" s="7">
        <v>45931.0</v>
      </c>
      <c r="J308" s="6" t="s">
        <v>25</v>
      </c>
      <c r="K308" s="8">
        <v>0.78</v>
      </c>
      <c r="L308" s="9">
        <f>E308*Scoring_Weights!$B$2 + F308*Scoring_Weights!$B$3 + G308*Scoring_Weights!$B$4</f>
        <v>85.95</v>
      </c>
      <c r="M308" s="6" t="str">
        <f>IF(AND(H308&gt;=(VLOOKUP(J308,Interview_Slots!$A$2:$D$5,4,FALSE)/100), L308&gt;=VLOOKUP(J308,Interview_Slots!$A$2:$D$5,3,FALSE)), "Eligible", "Not Eligible")</f>
        <v>Eligible</v>
      </c>
    </row>
    <row r="309">
      <c r="A309" s="6" t="s">
        <v>648</v>
      </c>
      <c r="B309" s="6" t="s">
        <v>649</v>
      </c>
      <c r="C309" s="6" t="s">
        <v>56</v>
      </c>
      <c r="D309" s="7" t="str">
        <f>VLOOKUP(C309, Dept_Lookup!$A$2:$B$17, 2, FALSE)</f>
        <v>Civil</v>
      </c>
      <c r="E309" s="6">
        <v>92.0</v>
      </c>
      <c r="F309" s="6">
        <v>66.0</v>
      </c>
      <c r="G309" s="6">
        <v>66.0</v>
      </c>
      <c r="H309" s="8">
        <v>0.95</v>
      </c>
      <c r="I309" s="7">
        <v>45842.0</v>
      </c>
      <c r="J309" s="6" t="s">
        <v>32</v>
      </c>
      <c r="K309" s="8">
        <v>0.73</v>
      </c>
      <c r="L309" s="9">
        <f>E309*Scoring_Weights!$B$2 + F309*Scoring_Weights!$B$3 + G309*Scoring_Weights!$B$4</f>
        <v>69.9</v>
      </c>
      <c r="M309" s="6" t="str">
        <f>IF(AND(H309&gt;=(VLOOKUP(J309,Interview_Slots!$A$2:$D$5,4,FALSE)/100), L309&gt;=VLOOKUP(J309,Interview_Slots!$A$2:$D$5,3,FALSE)), "Eligible", "Not Eligible")</f>
        <v>Eligible</v>
      </c>
    </row>
    <row r="310">
      <c r="A310" s="6" t="s">
        <v>650</v>
      </c>
      <c r="B310" s="6" t="s">
        <v>651</v>
      </c>
      <c r="C310" s="6" t="s">
        <v>59</v>
      </c>
      <c r="D310" s="7" t="str">
        <f>VLOOKUP(C310, Dept_Lookup!$A$2:$B$17, 2, FALSE)</f>
        <v>Civil</v>
      </c>
      <c r="E310" s="6">
        <v>79.0</v>
      </c>
      <c r="F310" s="6">
        <v>83.0</v>
      </c>
      <c r="G310" s="6">
        <v>67.0</v>
      </c>
      <c r="H310" s="8">
        <v>0.92</v>
      </c>
      <c r="I310" s="7">
        <v>45880.0</v>
      </c>
      <c r="J310" s="6" t="s">
        <v>17</v>
      </c>
      <c r="K310" s="8">
        <v>0.78</v>
      </c>
      <c r="L310" s="9">
        <f>E310*Scoring_Weights!$B$2 + F310*Scoring_Weights!$B$3 + G310*Scoring_Weights!$B$4</f>
        <v>74.4</v>
      </c>
      <c r="M310" s="6" t="str">
        <f>IF(AND(H310&gt;=(VLOOKUP(J310,Interview_Slots!$A$2:$D$5,4,FALSE)/100), L310&gt;=VLOOKUP(J310,Interview_Slots!$A$2:$D$5,3,FALSE)), "Eligible", "Not Eligible")</f>
        <v>Eligible</v>
      </c>
    </row>
    <row r="311">
      <c r="A311" s="6" t="s">
        <v>652</v>
      </c>
      <c r="B311" s="6" t="s">
        <v>653</v>
      </c>
      <c r="C311" s="6" t="s">
        <v>62</v>
      </c>
      <c r="D311" s="7" t="str">
        <f>VLOOKUP(C311, Dept_Lookup!$A$2:$B$17, 2, FALSE)</f>
        <v>Civil</v>
      </c>
      <c r="E311" s="6">
        <v>76.0</v>
      </c>
      <c r="F311" s="6">
        <v>98.0</v>
      </c>
      <c r="G311" s="6">
        <v>90.0</v>
      </c>
      <c r="H311" s="8">
        <v>0.92</v>
      </c>
      <c r="I311" s="7">
        <v>45865.0</v>
      </c>
      <c r="J311" s="6" t="s">
        <v>21</v>
      </c>
      <c r="K311" s="8">
        <v>0.95</v>
      </c>
      <c r="L311" s="9">
        <f>E311*Scoring_Weights!$B$2 + F311*Scoring_Weights!$B$3 + G311*Scoring_Weights!$B$4</f>
        <v>90.7</v>
      </c>
      <c r="M311" s="6" t="str">
        <f>IF(AND(H311&gt;=(VLOOKUP(J311,Interview_Slots!$A$2:$D$5,4,FALSE)/100), L311&gt;=VLOOKUP(J311,Interview_Slots!$A$2:$D$5,3,FALSE)), "Eligible", "Not Eligible")</f>
        <v>Eligible</v>
      </c>
    </row>
    <row r="312">
      <c r="A312" s="6" t="s">
        <v>654</v>
      </c>
      <c r="B312" s="6" t="s">
        <v>655</v>
      </c>
      <c r="C312" s="6" t="s">
        <v>16</v>
      </c>
      <c r="D312" s="7" t="str">
        <f>VLOOKUP(C312, Dept_Lookup!$A$2:$B$17, 2, FALSE)</f>
        <v>Computer Science</v>
      </c>
      <c r="E312" s="6">
        <v>79.0</v>
      </c>
      <c r="F312" s="6">
        <v>88.0</v>
      </c>
      <c r="G312" s="6">
        <v>85.0</v>
      </c>
      <c r="H312" s="8">
        <v>0.89</v>
      </c>
      <c r="I312" s="7">
        <v>45865.0</v>
      </c>
      <c r="J312" s="6" t="s">
        <v>32</v>
      </c>
      <c r="K312" s="8">
        <v>0.89</v>
      </c>
      <c r="L312" s="9">
        <f>E312*Scoring_Weights!$B$2 + F312*Scoring_Weights!$B$3 + G312*Scoring_Weights!$B$4</f>
        <v>85.15</v>
      </c>
      <c r="M312" s="6" t="str">
        <f>IF(AND(H312&gt;=(VLOOKUP(J312,Interview_Slots!$A$2:$D$5,4,FALSE)/100), L312&gt;=VLOOKUP(J312,Interview_Slots!$A$2:$D$5,3,FALSE)), "Eligible", "Not Eligible")</f>
        <v>Eligible</v>
      </c>
    </row>
    <row r="313">
      <c r="A313" s="6" t="s">
        <v>656</v>
      </c>
      <c r="B313" s="6" t="s">
        <v>657</v>
      </c>
      <c r="C313" s="6" t="s">
        <v>20</v>
      </c>
      <c r="D313" s="7" t="str">
        <f>VLOOKUP(C313, Dept_Lookup!$A$2:$B$17, 2, FALSE)</f>
        <v>Computer Science</v>
      </c>
      <c r="E313" s="6">
        <v>79.0</v>
      </c>
      <c r="F313" s="6">
        <v>83.0</v>
      </c>
      <c r="G313" s="6">
        <v>57.0</v>
      </c>
      <c r="H313" s="8">
        <v>0.82</v>
      </c>
      <c r="I313" s="7">
        <v>45878.0</v>
      </c>
      <c r="J313" s="6" t="s">
        <v>32</v>
      </c>
      <c r="K313" s="8">
        <v>0.92</v>
      </c>
      <c r="L313" s="9">
        <f>E313*Scoring_Weights!$B$2 + F313*Scoring_Weights!$B$3 + G313*Scoring_Weights!$B$4</f>
        <v>69.4</v>
      </c>
      <c r="M313" s="6" t="str">
        <f>IF(AND(H313&gt;=(VLOOKUP(J313,Interview_Slots!$A$2:$D$5,4,FALSE)/100), L313&gt;=VLOOKUP(J313,Interview_Slots!$A$2:$D$5,3,FALSE)), "Eligible", "Not Eligible")</f>
        <v>Eligible</v>
      </c>
    </row>
    <row r="314">
      <c r="A314" s="6" t="s">
        <v>658</v>
      </c>
      <c r="B314" s="6" t="s">
        <v>659</v>
      </c>
      <c r="C314" s="6" t="s">
        <v>24</v>
      </c>
      <c r="D314" s="7" t="str">
        <f>VLOOKUP(C314, Dept_Lookup!$A$2:$B$17, 2, FALSE)</f>
        <v>Computer Science</v>
      </c>
      <c r="E314" s="6">
        <v>71.0</v>
      </c>
      <c r="F314" s="6">
        <v>78.0</v>
      </c>
      <c r="G314" s="6">
        <v>83.0</v>
      </c>
      <c r="H314" s="8">
        <v>0.75</v>
      </c>
      <c r="I314" s="7">
        <v>45865.0</v>
      </c>
      <c r="J314" s="6" t="s">
        <v>17</v>
      </c>
      <c r="K314" s="8">
        <v>0.94</v>
      </c>
      <c r="L314" s="9">
        <f>E314*Scoring_Weights!$B$2 + F314*Scoring_Weights!$B$3 + G314*Scoring_Weights!$B$4</f>
        <v>79.45</v>
      </c>
      <c r="M314" s="6" t="str">
        <f>IF(AND(H314&gt;=(VLOOKUP(J314,Interview_Slots!$A$2:$D$5,4,FALSE)/100), L314&gt;=VLOOKUP(J314,Interview_Slots!$A$2:$D$5,3,FALSE)), "Eligible", "Not Eligible")</f>
        <v>Eligible</v>
      </c>
    </row>
    <row r="315">
      <c r="A315" s="6" t="s">
        <v>660</v>
      </c>
      <c r="B315" s="6" t="s">
        <v>661</v>
      </c>
      <c r="C315" s="6" t="s">
        <v>28</v>
      </c>
      <c r="D315" s="7" t="str">
        <f>VLOOKUP(C315, Dept_Lookup!$A$2:$B$17, 2, FALSE)</f>
        <v>Computer Science</v>
      </c>
      <c r="E315" s="6">
        <v>94.0</v>
      </c>
      <c r="F315" s="6">
        <v>83.0</v>
      </c>
      <c r="G315" s="6">
        <v>80.0</v>
      </c>
      <c r="H315" s="8">
        <v>0.78</v>
      </c>
      <c r="I315" s="7">
        <v>45865.0</v>
      </c>
      <c r="J315" s="6" t="s">
        <v>21</v>
      </c>
      <c r="K315" s="8">
        <v>0.89</v>
      </c>
      <c r="L315" s="9">
        <f>E315*Scoring_Weights!$B$2 + F315*Scoring_Weights!$B$3 + G315*Scoring_Weights!$B$4</f>
        <v>83.15</v>
      </c>
      <c r="M315" s="6" t="str">
        <f>IF(AND(H315&gt;=(VLOOKUP(J315,Interview_Slots!$A$2:$D$5,4,FALSE)/100), L315&gt;=VLOOKUP(J315,Interview_Slots!$A$2:$D$5,3,FALSE)), "Eligible", "Not Eligible")</f>
        <v>Not Eligible</v>
      </c>
    </row>
    <row r="316">
      <c r="A316" s="6" t="s">
        <v>662</v>
      </c>
      <c r="B316" s="6" t="s">
        <v>663</v>
      </c>
      <c r="C316" s="6" t="s">
        <v>31</v>
      </c>
      <c r="D316" s="7" t="str">
        <f>VLOOKUP(C316, Dept_Lookup!$A$2:$B$17, 2, FALSE)</f>
        <v>Electronics</v>
      </c>
      <c r="E316" s="6">
        <v>59.0</v>
      </c>
      <c r="F316" s="6">
        <v>75.0</v>
      </c>
      <c r="G316" s="6">
        <v>60.0</v>
      </c>
      <c r="H316" s="8">
        <v>0.77</v>
      </c>
      <c r="I316" s="7">
        <v>45870.0</v>
      </c>
      <c r="J316" s="6" t="s">
        <v>21</v>
      </c>
      <c r="K316" s="8">
        <v>0.77</v>
      </c>
      <c r="L316" s="9">
        <f>E316*Scoring_Weights!$B$2 + F316*Scoring_Weights!$B$3 + G316*Scoring_Weights!$B$4</f>
        <v>65.1</v>
      </c>
      <c r="M316" s="6" t="str">
        <f>IF(AND(H316&gt;=(VLOOKUP(J316,Interview_Slots!$A$2:$D$5,4,FALSE)/100), L316&gt;=VLOOKUP(J316,Interview_Slots!$A$2:$D$5,3,FALSE)), "Eligible", "Not Eligible")</f>
        <v>Not Eligible</v>
      </c>
    </row>
    <row r="317">
      <c r="A317" s="6" t="s">
        <v>664</v>
      </c>
      <c r="B317" s="6" t="s">
        <v>665</v>
      </c>
      <c r="C317" s="6" t="s">
        <v>35</v>
      </c>
      <c r="D317" s="7" t="str">
        <f>VLOOKUP(C317, Dept_Lookup!$A$2:$B$17, 2, FALSE)</f>
        <v>Electronics</v>
      </c>
      <c r="E317" s="6">
        <v>80.0</v>
      </c>
      <c r="F317" s="6">
        <v>91.0</v>
      </c>
      <c r="G317" s="6">
        <v>63.0</v>
      </c>
      <c r="H317" s="8">
        <v>0.77</v>
      </c>
      <c r="I317" s="7">
        <v>45900.0</v>
      </c>
      <c r="J317" s="6" t="s">
        <v>21</v>
      </c>
      <c r="K317" s="8">
        <v>0.97</v>
      </c>
      <c r="L317" s="9">
        <f>E317*Scoring_Weights!$B$2 + F317*Scoring_Weights!$B$3 + G317*Scoring_Weights!$B$4</f>
        <v>75.35</v>
      </c>
      <c r="M317" s="6" t="str">
        <f>IF(AND(H317&gt;=(VLOOKUP(J317,Interview_Slots!$A$2:$D$5,4,FALSE)/100), L317&gt;=VLOOKUP(J317,Interview_Slots!$A$2:$D$5,3,FALSE)), "Eligible", "Not Eligible")</f>
        <v>Not Eligible</v>
      </c>
    </row>
    <row r="318">
      <c r="A318" s="6" t="s">
        <v>666</v>
      </c>
      <c r="B318" s="6" t="s">
        <v>667</v>
      </c>
      <c r="C318" s="6" t="s">
        <v>38</v>
      </c>
      <c r="D318" s="7" t="str">
        <f>VLOOKUP(C318, Dept_Lookup!$A$2:$B$17, 2, FALSE)</f>
        <v>Electronics</v>
      </c>
      <c r="E318" s="6">
        <v>88.0</v>
      </c>
      <c r="F318" s="6">
        <v>89.0</v>
      </c>
      <c r="G318" s="6">
        <v>67.0</v>
      </c>
      <c r="H318" s="8">
        <v>0.8</v>
      </c>
      <c r="I318" s="7">
        <v>45860.0</v>
      </c>
      <c r="J318" s="6" t="s">
        <v>25</v>
      </c>
      <c r="K318" s="8">
        <v>0.75</v>
      </c>
      <c r="L318" s="9">
        <f>E318*Scoring_Weights!$B$2 + F318*Scoring_Weights!$B$3 + G318*Scoring_Weights!$B$4</f>
        <v>77.85</v>
      </c>
      <c r="M318" s="6" t="str">
        <f>IF(AND(H318&gt;=(VLOOKUP(J318,Interview_Slots!$A$2:$D$5,4,FALSE)/100), L318&gt;=VLOOKUP(J318,Interview_Slots!$A$2:$D$5,3,FALSE)), "Eligible", "Not Eligible")</f>
        <v>Not Eligible</v>
      </c>
    </row>
    <row r="319">
      <c r="A319" s="6" t="s">
        <v>668</v>
      </c>
      <c r="B319" s="6" t="s">
        <v>669</v>
      </c>
      <c r="C319" s="6" t="s">
        <v>41</v>
      </c>
      <c r="D319" s="7" t="str">
        <f>VLOOKUP(C319, Dept_Lookup!$A$2:$B$17, 2, FALSE)</f>
        <v>Electronics</v>
      </c>
      <c r="E319" s="6">
        <v>98.0</v>
      </c>
      <c r="F319" s="6">
        <v>93.0</v>
      </c>
      <c r="G319" s="6">
        <v>85.0</v>
      </c>
      <c r="H319" s="8">
        <v>0.86</v>
      </c>
      <c r="I319" s="7">
        <v>45878.0</v>
      </c>
      <c r="J319" s="6" t="s">
        <v>25</v>
      </c>
      <c r="K319" s="8">
        <v>0.78</v>
      </c>
      <c r="L319" s="9">
        <f>E319*Scoring_Weights!$B$2 + F319*Scoring_Weights!$B$3 + G319*Scoring_Weights!$B$4</f>
        <v>89.75</v>
      </c>
      <c r="M319" s="6" t="str">
        <f>IF(AND(H319&gt;=(VLOOKUP(J319,Interview_Slots!$A$2:$D$5,4,FALSE)/100), L319&gt;=VLOOKUP(J319,Interview_Slots!$A$2:$D$5,3,FALSE)), "Eligible", "Not Eligible")</f>
        <v>Eligible</v>
      </c>
    </row>
    <row r="320">
      <c r="A320" s="6" t="s">
        <v>670</v>
      </c>
      <c r="B320" s="6" t="s">
        <v>671</v>
      </c>
      <c r="C320" s="6" t="s">
        <v>44</v>
      </c>
      <c r="D320" s="7" t="str">
        <f>VLOOKUP(C320, Dept_Lookup!$A$2:$B$17, 2, FALSE)</f>
        <v>Mechanical</v>
      </c>
      <c r="E320" s="6">
        <v>89.0</v>
      </c>
      <c r="F320" s="6">
        <v>62.0</v>
      </c>
      <c r="G320" s="6">
        <v>69.0</v>
      </c>
      <c r="H320" s="8">
        <v>0.85</v>
      </c>
      <c r="I320" s="7">
        <v>45870.0</v>
      </c>
      <c r="J320" s="6" t="s">
        <v>25</v>
      </c>
      <c r="K320" s="8">
        <v>0.76</v>
      </c>
      <c r="L320" s="9">
        <f>E320*Scoring_Weights!$B$2 + F320*Scoring_Weights!$B$3 + G320*Scoring_Weights!$B$4</f>
        <v>69.55</v>
      </c>
      <c r="M320" s="6" t="str">
        <f>IF(AND(H320&gt;=(VLOOKUP(J320,Interview_Slots!$A$2:$D$5,4,FALSE)/100), L320&gt;=VLOOKUP(J320,Interview_Slots!$A$2:$D$5,3,FALSE)), "Eligible", "Not Eligible")</f>
        <v>Not Eligible</v>
      </c>
    </row>
    <row r="321">
      <c r="A321" s="6" t="s">
        <v>672</v>
      </c>
      <c r="B321" s="6" t="s">
        <v>673</v>
      </c>
      <c r="C321" s="6" t="s">
        <v>47</v>
      </c>
      <c r="D321" s="7" t="str">
        <f>VLOOKUP(C321, Dept_Lookup!$A$2:$B$17, 2, FALSE)</f>
        <v>Mechanical</v>
      </c>
      <c r="E321" s="6">
        <v>75.0</v>
      </c>
      <c r="F321" s="6">
        <v>98.0</v>
      </c>
      <c r="G321" s="6">
        <v>57.0</v>
      </c>
      <c r="H321" s="8">
        <v>0.77</v>
      </c>
      <c r="I321" s="7">
        <v>45900.0</v>
      </c>
      <c r="J321" s="6" t="s">
        <v>17</v>
      </c>
      <c r="K321" s="8">
        <v>0.73</v>
      </c>
      <c r="L321" s="9">
        <f>E321*Scoring_Weights!$B$2 + F321*Scoring_Weights!$B$3 + G321*Scoring_Weights!$B$4</f>
        <v>74.05</v>
      </c>
      <c r="M321" s="6" t="str">
        <f>IF(AND(H321&gt;=(VLOOKUP(J321,Interview_Slots!$A$2:$D$5,4,FALSE)/100), L321&gt;=VLOOKUP(J321,Interview_Slots!$A$2:$D$5,3,FALSE)), "Eligible", "Not Eligible")</f>
        <v>Eligible</v>
      </c>
    </row>
    <row r="322">
      <c r="A322" s="6" t="s">
        <v>674</v>
      </c>
      <c r="B322" s="6" t="s">
        <v>675</v>
      </c>
      <c r="C322" s="6" t="s">
        <v>50</v>
      </c>
      <c r="D322" s="7" t="str">
        <f>VLOOKUP(C322, Dept_Lookup!$A$2:$B$17, 2, FALSE)</f>
        <v>Mechanical</v>
      </c>
      <c r="E322" s="6">
        <v>78.0</v>
      </c>
      <c r="F322" s="6">
        <v>99.0</v>
      </c>
      <c r="G322" s="6">
        <v>93.0</v>
      </c>
      <c r="H322" s="8">
        <v>0.78</v>
      </c>
      <c r="I322" s="7">
        <v>45880.0</v>
      </c>
      <c r="J322" s="6" t="s">
        <v>21</v>
      </c>
      <c r="K322" s="8">
        <v>0.82</v>
      </c>
      <c r="L322" s="9">
        <f>E322*Scoring_Weights!$B$2 + F322*Scoring_Weights!$B$3 + G322*Scoring_Weights!$B$4</f>
        <v>92.85</v>
      </c>
      <c r="M322" s="6" t="str">
        <f>IF(AND(H322&gt;=(VLOOKUP(J322,Interview_Slots!$A$2:$D$5,4,FALSE)/100), L322&gt;=VLOOKUP(J322,Interview_Slots!$A$2:$D$5,3,FALSE)), "Eligible", "Not Eligible")</f>
        <v>Not Eligible</v>
      </c>
    </row>
    <row r="323">
      <c r="A323" s="6" t="s">
        <v>676</v>
      </c>
      <c r="B323" s="6" t="s">
        <v>677</v>
      </c>
      <c r="C323" s="6" t="s">
        <v>53</v>
      </c>
      <c r="D323" s="7" t="str">
        <f>VLOOKUP(C323, Dept_Lookup!$A$2:$B$17, 2, FALSE)</f>
        <v>Mechanical</v>
      </c>
      <c r="E323" s="6">
        <v>58.0</v>
      </c>
      <c r="F323" s="6">
        <v>84.0</v>
      </c>
      <c r="G323" s="6">
        <v>74.0</v>
      </c>
      <c r="H323" s="8">
        <v>0.88</v>
      </c>
      <c r="I323" s="7">
        <v>45887.0</v>
      </c>
      <c r="J323" s="6" t="s">
        <v>17</v>
      </c>
      <c r="K323" s="8">
        <v>0.89</v>
      </c>
      <c r="L323" s="9">
        <f>E323*Scoring_Weights!$B$2 + F323*Scoring_Weights!$B$3 + G323*Scoring_Weights!$B$4</f>
        <v>75.1</v>
      </c>
      <c r="M323" s="6" t="str">
        <f>IF(AND(H323&gt;=(VLOOKUP(J323,Interview_Slots!$A$2:$D$5,4,FALSE)/100), L323&gt;=VLOOKUP(J323,Interview_Slots!$A$2:$D$5,3,FALSE)), "Eligible", "Not Eligible")</f>
        <v>Eligible</v>
      </c>
    </row>
    <row r="324">
      <c r="A324" s="6" t="s">
        <v>678</v>
      </c>
      <c r="B324" s="6" t="s">
        <v>679</v>
      </c>
      <c r="C324" s="6" t="s">
        <v>56</v>
      </c>
      <c r="D324" s="7" t="str">
        <f>VLOOKUP(C324, Dept_Lookup!$A$2:$B$17, 2, FALSE)</f>
        <v>Civil</v>
      </c>
      <c r="E324" s="6">
        <v>57.0</v>
      </c>
      <c r="F324" s="6">
        <v>66.0</v>
      </c>
      <c r="G324" s="6">
        <v>71.0</v>
      </c>
      <c r="H324" s="8">
        <v>0.9</v>
      </c>
      <c r="I324" s="7">
        <v>45866.0</v>
      </c>
      <c r="J324" s="6" t="s">
        <v>21</v>
      </c>
      <c r="K324" s="8">
        <v>0.73</v>
      </c>
      <c r="L324" s="9">
        <f>E324*Scoring_Weights!$B$2 + F324*Scoring_Weights!$B$3 + G324*Scoring_Weights!$B$4</f>
        <v>67.15</v>
      </c>
      <c r="M324" s="6" t="str">
        <f>IF(AND(H324&gt;=(VLOOKUP(J324,Interview_Slots!$A$2:$D$5,4,FALSE)/100), L324&gt;=VLOOKUP(J324,Interview_Slots!$A$2:$D$5,3,FALSE)), "Eligible", "Not Eligible")</f>
        <v>Not Eligible</v>
      </c>
    </row>
    <row r="325">
      <c r="A325" s="6" t="s">
        <v>680</v>
      </c>
      <c r="B325" s="6" t="s">
        <v>681</v>
      </c>
      <c r="C325" s="6" t="s">
        <v>59</v>
      </c>
      <c r="D325" s="7" t="str">
        <f>VLOOKUP(C325, Dept_Lookup!$A$2:$B$17, 2, FALSE)</f>
        <v>Civil</v>
      </c>
      <c r="E325" s="6">
        <v>80.0</v>
      </c>
      <c r="F325" s="6">
        <v>74.0</v>
      </c>
      <c r="G325" s="6">
        <v>58.0</v>
      </c>
      <c r="H325" s="8">
        <v>0.85</v>
      </c>
      <c r="I325" s="7">
        <v>45900.0</v>
      </c>
      <c r="J325" s="6" t="s">
        <v>32</v>
      </c>
      <c r="K325" s="8">
        <v>0.89</v>
      </c>
      <c r="L325" s="9">
        <f>E325*Scoring_Weights!$B$2 + F325*Scoring_Weights!$B$3 + G325*Scoring_Weights!$B$4</f>
        <v>66.9</v>
      </c>
      <c r="M325" s="6" t="str">
        <f>IF(AND(H325&gt;=(VLOOKUP(J325,Interview_Slots!$A$2:$D$5,4,FALSE)/100), L325&gt;=VLOOKUP(J325,Interview_Slots!$A$2:$D$5,3,FALSE)), "Eligible", "Not Eligible")</f>
        <v>Eligible</v>
      </c>
    </row>
    <row r="326">
      <c r="A326" s="6" t="s">
        <v>682</v>
      </c>
      <c r="B326" s="6" t="s">
        <v>683</v>
      </c>
      <c r="C326" s="6" t="s">
        <v>62</v>
      </c>
      <c r="D326" s="7" t="str">
        <f>VLOOKUP(C326, Dept_Lookup!$A$2:$B$17, 2, FALSE)</f>
        <v>Civil</v>
      </c>
      <c r="E326" s="6">
        <v>95.0</v>
      </c>
      <c r="F326" s="6">
        <v>75.0</v>
      </c>
      <c r="G326" s="6">
        <v>82.0</v>
      </c>
      <c r="H326" s="8">
        <v>0.89</v>
      </c>
      <c r="I326" s="7">
        <v>45878.0</v>
      </c>
      <c r="J326" s="6" t="s">
        <v>32</v>
      </c>
      <c r="K326" s="8">
        <v>0.99</v>
      </c>
      <c r="L326" s="9">
        <f>E326*Scoring_Weights!$B$2 + F326*Scoring_Weights!$B$3 + G326*Scoring_Weights!$B$4</f>
        <v>81.5</v>
      </c>
      <c r="M326" s="6" t="str">
        <f>IF(AND(H326&gt;=(VLOOKUP(J326,Interview_Slots!$A$2:$D$5,4,FALSE)/100), L326&gt;=VLOOKUP(J326,Interview_Slots!$A$2:$D$5,3,FALSE)), "Eligible", "Not Eligible")</f>
        <v>Eligible</v>
      </c>
    </row>
    <row r="327">
      <c r="A327" s="6" t="s">
        <v>684</v>
      </c>
      <c r="B327" s="6" t="s">
        <v>685</v>
      </c>
      <c r="C327" s="6" t="s">
        <v>65</v>
      </c>
      <c r="D327" s="7" t="str">
        <f>VLOOKUP(C327, Dept_Lookup!$A$2:$B$17, 2, FALSE)</f>
        <v>Civil</v>
      </c>
      <c r="E327" s="6">
        <v>96.0</v>
      </c>
      <c r="F327" s="6">
        <v>56.0</v>
      </c>
      <c r="G327" s="6">
        <v>72.0</v>
      </c>
      <c r="H327" s="8">
        <v>0.92</v>
      </c>
      <c r="I327" s="7">
        <v>45878.0</v>
      </c>
      <c r="J327" s="6" t="s">
        <v>17</v>
      </c>
      <c r="K327" s="8">
        <v>0.81</v>
      </c>
      <c r="L327" s="9">
        <f>E327*Scoring_Weights!$B$2 + F327*Scoring_Weights!$B$3 + G327*Scoring_Weights!$B$4</f>
        <v>70</v>
      </c>
      <c r="M327" s="6" t="str">
        <f>IF(AND(H327&gt;=(VLOOKUP(J327,Interview_Slots!$A$2:$D$5,4,FALSE)/100), L327&gt;=VLOOKUP(J327,Interview_Slots!$A$2:$D$5,3,FALSE)), "Eligible", "Not Eligible")</f>
        <v>Eligible</v>
      </c>
    </row>
    <row r="328">
      <c r="A328" s="6" t="s">
        <v>686</v>
      </c>
      <c r="B328" s="6" t="s">
        <v>687</v>
      </c>
      <c r="C328" s="6" t="s">
        <v>16</v>
      </c>
      <c r="D328" s="7" t="str">
        <f>VLOOKUP(C328, Dept_Lookup!$A$2:$B$17, 2, FALSE)</f>
        <v>Computer Science</v>
      </c>
      <c r="E328" s="6">
        <v>67.0</v>
      </c>
      <c r="F328" s="6">
        <v>95.0</v>
      </c>
      <c r="G328" s="6">
        <v>67.0</v>
      </c>
      <c r="H328" s="8">
        <v>0.95</v>
      </c>
      <c r="I328" s="7">
        <v>45877.0</v>
      </c>
      <c r="J328" s="6" t="s">
        <v>21</v>
      </c>
      <c r="K328" s="8">
        <v>0.89</v>
      </c>
      <c r="L328" s="9">
        <f>E328*Scoring_Weights!$B$2 + F328*Scoring_Weights!$B$3 + G328*Scoring_Weights!$B$4</f>
        <v>76.8</v>
      </c>
      <c r="M328" s="6" t="str">
        <f>IF(AND(H328&gt;=(VLOOKUP(J328,Interview_Slots!$A$2:$D$5,4,FALSE)/100), L328&gt;=VLOOKUP(J328,Interview_Slots!$A$2:$D$5,3,FALSE)), "Eligible", "Not Eligible")</f>
        <v>Eligible</v>
      </c>
    </row>
    <row r="329">
      <c r="A329" s="6" t="s">
        <v>688</v>
      </c>
      <c r="B329" s="6" t="s">
        <v>689</v>
      </c>
      <c r="C329" s="6" t="s">
        <v>20</v>
      </c>
      <c r="D329" s="7" t="str">
        <f>VLOOKUP(C329, Dept_Lookup!$A$2:$B$17, 2, FALSE)</f>
        <v>Computer Science</v>
      </c>
      <c r="E329" s="6">
        <v>75.0</v>
      </c>
      <c r="F329" s="6">
        <v>59.0</v>
      </c>
      <c r="G329" s="6">
        <v>93.0</v>
      </c>
      <c r="H329" s="8">
        <v>0.93</v>
      </c>
      <c r="I329" s="7">
        <v>45878.0</v>
      </c>
      <c r="J329" s="6" t="s">
        <v>21</v>
      </c>
      <c r="K329" s="8">
        <v>0.86</v>
      </c>
      <c r="L329" s="9">
        <f>E329*Scoring_Weights!$B$2 + F329*Scoring_Weights!$B$3 + G329*Scoring_Weights!$B$4</f>
        <v>78.4</v>
      </c>
      <c r="M329" s="6" t="str">
        <f>IF(AND(H329&gt;=(VLOOKUP(J329,Interview_Slots!$A$2:$D$5,4,FALSE)/100), L329&gt;=VLOOKUP(J329,Interview_Slots!$A$2:$D$5,3,FALSE)), "Eligible", "Not Eligible")</f>
        <v>Eligible</v>
      </c>
    </row>
    <row r="330">
      <c r="A330" s="6" t="s">
        <v>690</v>
      </c>
      <c r="B330" s="6" t="s">
        <v>691</v>
      </c>
      <c r="C330" s="6" t="s">
        <v>24</v>
      </c>
      <c r="D330" s="7" t="str">
        <f>VLOOKUP(C330, Dept_Lookup!$A$2:$B$17, 2, FALSE)</f>
        <v>Computer Science</v>
      </c>
      <c r="E330" s="6">
        <v>77.0</v>
      </c>
      <c r="F330" s="6">
        <v>93.0</v>
      </c>
      <c r="G330" s="6">
        <v>99.0</v>
      </c>
      <c r="H330" s="8">
        <v>0.94</v>
      </c>
      <c r="I330" s="7">
        <v>45868.0</v>
      </c>
      <c r="J330" s="6" t="s">
        <v>21</v>
      </c>
      <c r="K330" s="8">
        <v>0.78</v>
      </c>
      <c r="L330" s="9">
        <f>E330*Scoring_Weights!$B$2 + F330*Scoring_Weights!$B$3 + G330*Scoring_Weights!$B$4</f>
        <v>93.6</v>
      </c>
      <c r="M330" s="6" t="str">
        <f>IF(AND(H330&gt;=(VLOOKUP(J330,Interview_Slots!$A$2:$D$5,4,FALSE)/100), L330&gt;=VLOOKUP(J330,Interview_Slots!$A$2:$D$5,3,FALSE)), "Eligible", "Not Eligible")</f>
        <v>Eligible</v>
      </c>
    </row>
    <row r="331">
      <c r="A331" s="6" t="s">
        <v>692</v>
      </c>
      <c r="B331" s="6" t="s">
        <v>693</v>
      </c>
      <c r="C331" s="6" t="s">
        <v>28</v>
      </c>
      <c r="D331" s="7" t="str">
        <f>VLOOKUP(C331, Dept_Lookup!$A$2:$B$17, 2, FALSE)</f>
        <v>Computer Science</v>
      </c>
      <c r="E331" s="6">
        <v>90.0</v>
      </c>
      <c r="F331" s="6">
        <v>63.0</v>
      </c>
      <c r="G331" s="6">
        <v>71.0</v>
      </c>
      <c r="H331" s="8">
        <v>0.87</v>
      </c>
      <c r="I331" s="7">
        <v>45865.0</v>
      </c>
      <c r="J331" s="6" t="s">
        <v>25</v>
      </c>
      <c r="K331" s="8">
        <v>0.77</v>
      </c>
      <c r="L331" s="9">
        <f>E331*Scoring_Weights!$B$2 + F331*Scoring_Weights!$B$3 + G331*Scoring_Weights!$B$4</f>
        <v>71.05</v>
      </c>
      <c r="M331" s="6" t="str">
        <f>IF(AND(H331&gt;=(VLOOKUP(J331,Interview_Slots!$A$2:$D$5,4,FALSE)/100), L331&gt;=VLOOKUP(J331,Interview_Slots!$A$2:$D$5,3,FALSE)), "Eligible", "Not Eligible")</f>
        <v>Not Eligible</v>
      </c>
    </row>
    <row r="332">
      <c r="A332" s="6" t="s">
        <v>694</v>
      </c>
      <c r="B332" s="6" t="s">
        <v>695</v>
      </c>
      <c r="C332" s="6" t="s">
        <v>31</v>
      </c>
      <c r="D332" s="7" t="str">
        <f>VLOOKUP(C332, Dept_Lookup!$A$2:$B$17, 2, FALSE)</f>
        <v>Electronics</v>
      </c>
      <c r="E332" s="6">
        <v>69.0</v>
      </c>
      <c r="F332" s="6">
        <v>90.0</v>
      </c>
      <c r="G332" s="6">
        <v>57.0</v>
      </c>
      <c r="H332" s="8">
        <v>0.82</v>
      </c>
      <c r="I332" s="7">
        <v>45913.0</v>
      </c>
      <c r="J332" s="6" t="s">
        <v>25</v>
      </c>
      <c r="K332" s="8">
        <v>0.91</v>
      </c>
      <c r="L332" s="9">
        <f>E332*Scoring_Weights!$B$2 + F332*Scoring_Weights!$B$3 + G332*Scoring_Weights!$B$4</f>
        <v>70.35</v>
      </c>
      <c r="M332" s="6" t="str">
        <f>IF(AND(H332&gt;=(VLOOKUP(J332,Interview_Slots!$A$2:$D$5,4,FALSE)/100), L332&gt;=VLOOKUP(J332,Interview_Slots!$A$2:$D$5,3,FALSE)), "Eligible", "Not Eligible")</f>
        <v>Not Eligible</v>
      </c>
    </row>
    <row r="333">
      <c r="A333" s="6" t="s">
        <v>696</v>
      </c>
      <c r="B333" s="6" t="s">
        <v>697</v>
      </c>
      <c r="C333" s="6" t="s">
        <v>35</v>
      </c>
      <c r="D333" s="7" t="str">
        <f>VLOOKUP(C333, Dept_Lookup!$A$2:$B$17, 2, FALSE)</f>
        <v>Electronics</v>
      </c>
      <c r="E333" s="6">
        <v>76.0</v>
      </c>
      <c r="F333" s="6">
        <v>81.0</v>
      </c>
      <c r="G333" s="6">
        <v>95.0</v>
      </c>
      <c r="H333" s="8">
        <v>0.86</v>
      </c>
      <c r="I333" s="7">
        <v>45894.0</v>
      </c>
      <c r="J333" s="6" t="s">
        <v>25</v>
      </c>
      <c r="K333" s="8">
        <v>0.8</v>
      </c>
      <c r="L333" s="9">
        <f>E333*Scoring_Weights!$B$2 + F333*Scoring_Weights!$B$3 + G333*Scoring_Weights!$B$4</f>
        <v>87.25</v>
      </c>
      <c r="M333" s="6" t="str">
        <f>IF(AND(H333&gt;=(VLOOKUP(J333,Interview_Slots!$A$2:$D$5,4,FALSE)/100), L333&gt;=VLOOKUP(J333,Interview_Slots!$A$2:$D$5,3,FALSE)), "Eligible", "Not Eligible")</f>
        <v>Eligible</v>
      </c>
    </row>
    <row r="334">
      <c r="A334" s="6" t="s">
        <v>698</v>
      </c>
      <c r="B334" s="6" t="s">
        <v>699</v>
      </c>
      <c r="C334" s="6" t="s">
        <v>38</v>
      </c>
      <c r="D334" s="7" t="str">
        <f>VLOOKUP(C334, Dept_Lookup!$A$2:$B$17, 2, FALSE)</f>
        <v>Electronics</v>
      </c>
      <c r="E334" s="6">
        <v>58.0</v>
      </c>
      <c r="F334" s="6">
        <v>92.0</v>
      </c>
      <c r="G334" s="6">
        <v>89.0</v>
      </c>
      <c r="H334" s="8">
        <v>0.94</v>
      </c>
      <c r="I334" s="7">
        <v>45865.0</v>
      </c>
      <c r="J334" s="6" t="s">
        <v>17</v>
      </c>
      <c r="K334" s="8">
        <v>0.77</v>
      </c>
      <c r="L334" s="9">
        <f>E334*Scoring_Weights!$B$2 + F334*Scoring_Weights!$B$3 + G334*Scoring_Weights!$B$4</f>
        <v>85.4</v>
      </c>
      <c r="M334" s="6" t="str">
        <f>IF(AND(H334&gt;=(VLOOKUP(J334,Interview_Slots!$A$2:$D$5,4,FALSE)/100), L334&gt;=VLOOKUP(J334,Interview_Slots!$A$2:$D$5,3,FALSE)), "Eligible", "Not Eligible")</f>
        <v>Eligible</v>
      </c>
    </row>
    <row r="335">
      <c r="A335" s="6" t="s">
        <v>700</v>
      </c>
      <c r="B335" s="6" t="s">
        <v>701</v>
      </c>
      <c r="C335" s="6" t="s">
        <v>41</v>
      </c>
      <c r="D335" s="7" t="str">
        <f>VLOOKUP(C335, Dept_Lookup!$A$2:$B$17, 2, FALSE)</f>
        <v>Electronics</v>
      </c>
      <c r="E335" s="6">
        <v>62.0</v>
      </c>
      <c r="F335" s="6">
        <v>79.0</v>
      </c>
      <c r="G335" s="6">
        <v>94.0</v>
      </c>
      <c r="H335" s="8">
        <v>0.81</v>
      </c>
      <c r="I335" s="7">
        <v>45900.0</v>
      </c>
      <c r="J335" s="6" t="s">
        <v>32</v>
      </c>
      <c r="K335" s="8">
        <v>0.79</v>
      </c>
      <c r="L335" s="9">
        <f>E335*Scoring_Weights!$B$2 + F335*Scoring_Weights!$B$3 + G335*Scoring_Weights!$B$4</f>
        <v>83.95</v>
      </c>
      <c r="M335" s="6" t="str">
        <f>IF(AND(H335&gt;=(VLOOKUP(J335,Interview_Slots!$A$2:$D$5,4,FALSE)/100), L335&gt;=VLOOKUP(J335,Interview_Slots!$A$2:$D$5,3,FALSE)), "Eligible", "Not Eligible")</f>
        <v>Eligible</v>
      </c>
    </row>
    <row r="336">
      <c r="A336" s="6" t="s">
        <v>702</v>
      </c>
      <c r="B336" s="6" t="s">
        <v>703</v>
      </c>
      <c r="C336" s="6" t="s">
        <v>44</v>
      </c>
      <c r="D336" s="7" t="str">
        <f>VLOOKUP(C336, Dept_Lookup!$A$2:$B$17, 2, FALSE)</f>
        <v>Mechanical</v>
      </c>
      <c r="E336" s="6">
        <v>93.0</v>
      </c>
      <c r="F336" s="6">
        <v>87.0</v>
      </c>
      <c r="G336" s="6">
        <v>84.0</v>
      </c>
      <c r="H336" s="8">
        <v>0.91</v>
      </c>
      <c r="I336" s="7">
        <v>45863.0</v>
      </c>
      <c r="J336" s="6" t="s">
        <v>25</v>
      </c>
      <c r="K336" s="8">
        <v>0.73</v>
      </c>
      <c r="L336" s="9">
        <f>E336*Scoring_Weights!$B$2 + F336*Scoring_Weights!$B$3 + G336*Scoring_Weights!$B$4</f>
        <v>86.4</v>
      </c>
      <c r="M336" s="6" t="str">
        <f>IF(AND(H336&gt;=(VLOOKUP(J336,Interview_Slots!$A$2:$D$5,4,FALSE)/100), L336&gt;=VLOOKUP(J336,Interview_Slots!$A$2:$D$5,3,FALSE)), "Eligible", "Not Eligible")</f>
        <v>Eligible</v>
      </c>
    </row>
    <row r="337">
      <c r="A337" s="6" t="s">
        <v>704</v>
      </c>
      <c r="B337" s="6" t="s">
        <v>705</v>
      </c>
      <c r="C337" s="6" t="s">
        <v>47</v>
      </c>
      <c r="D337" s="7" t="str">
        <f>VLOOKUP(C337, Dept_Lookup!$A$2:$B$17, 2, FALSE)</f>
        <v>Mechanical</v>
      </c>
      <c r="E337" s="6">
        <v>61.0</v>
      </c>
      <c r="F337" s="6">
        <v>60.0</v>
      </c>
      <c r="G337" s="6">
        <v>84.0</v>
      </c>
      <c r="H337" s="8">
        <v>0.86</v>
      </c>
      <c r="I337" s="7">
        <v>45913.0</v>
      </c>
      <c r="J337" s="6" t="s">
        <v>21</v>
      </c>
      <c r="K337" s="8">
        <v>0.82</v>
      </c>
      <c r="L337" s="9">
        <f>E337*Scoring_Weights!$B$2 + F337*Scoring_Weights!$B$3 + G337*Scoring_Weights!$B$4</f>
        <v>72.15</v>
      </c>
      <c r="M337" s="6" t="str">
        <f>IF(AND(H337&gt;=(VLOOKUP(J337,Interview_Slots!$A$2:$D$5,4,FALSE)/100), L337&gt;=VLOOKUP(J337,Interview_Slots!$A$2:$D$5,3,FALSE)), "Eligible", "Not Eligible")</f>
        <v>Eligible</v>
      </c>
    </row>
    <row r="338">
      <c r="A338" s="6" t="s">
        <v>706</v>
      </c>
      <c r="B338" s="6" t="s">
        <v>707</v>
      </c>
      <c r="C338" s="6" t="s">
        <v>50</v>
      </c>
      <c r="D338" s="7" t="str">
        <f>VLOOKUP(C338, Dept_Lookup!$A$2:$B$17, 2, FALSE)</f>
        <v>Mechanical</v>
      </c>
      <c r="E338" s="6">
        <v>77.0</v>
      </c>
      <c r="F338" s="6">
        <v>84.0</v>
      </c>
      <c r="G338" s="6">
        <v>84.0</v>
      </c>
      <c r="H338" s="8">
        <v>0.81</v>
      </c>
      <c r="I338" s="7">
        <v>45900.0</v>
      </c>
      <c r="J338" s="6" t="s">
        <v>32</v>
      </c>
      <c r="K338" s="8">
        <v>0.91</v>
      </c>
      <c r="L338" s="9">
        <f>E338*Scoring_Weights!$B$2 + F338*Scoring_Weights!$B$3 + G338*Scoring_Weights!$B$4</f>
        <v>82.95</v>
      </c>
      <c r="M338" s="6" t="str">
        <f>IF(AND(H338&gt;=(VLOOKUP(J338,Interview_Slots!$A$2:$D$5,4,FALSE)/100), L338&gt;=VLOOKUP(J338,Interview_Slots!$A$2:$D$5,3,FALSE)), "Eligible", "Not Eligible")</f>
        <v>Eligible</v>
      </c>
    </row>
    <row r="339">
      <c r="A339" s="6" t="s">
        <v>708</v>
      </c>
      <c r="B339" s="6" t="s">
        <v>709</v>
      </c>
      <c r="C339" s="6" t="s">
        <v>53</v>
      </c>
      <c r="D339" s="7" t="str">
        <f>VLOOKUP(C339, Dept_Lookup!$A$2:$B$17, 2, FALSE)</f>
        <v>Mechanical</v>
      </c>
      <c r="E339" s="6">
        <v>88.0</v>
      </c>
      <c r="F339" s="6">
        <v>73.0</v>
      </c>
      <c r="G339" s="6">
        <v>59.0</v>
      </c>
      <c r="H339" s="8">
        <v>0.9</v>
      </c>
      <c r="I339" s="7">
        <v>45842.0</v>
      </c>
      <c r="J339" s="6" t="s">
        <v>32</v>
      </c>
      <c r="K339" s="8">
        <v>0.98</v>
      </c>
      <c r="L339" s="9">
        <f>E339*Scoring_Weights!$B$2 + F339*Scoring_Weights!$B$3 + G339*Scoring_Weights!$B$4</f>
        <v>68.25</v>
      </c>
      <c r="M339" s="6" t="str">
        <f>IF(AND(H339&gt;=(VLOOKUP(J339,Interview_Slots!$A$2:$D$5,4,FALSE)/100), L339&gt;=VLOOKUP(J339,Interview_Slots!$A$2:$D$5,3,FALSE)), "Eligible", "Not Eligible")</f>
        <v>Eligible</v>
      </c>
    </row>
    <row r="340">
      <c r="A340" s="6" t="s">
        <v>710</v>
      </c>
      <c r="B340" s="6" t="s">
        <v>711</v>
      </c>
      <c r="C340" s="6" t="s">
        <v>56</v>
      </c>
      <c r="D340" s="7" t="str">
        <f>VLOOKUP(C340, Dept_Lookup!$A$2:$B$17, 2, FALSE)</f>
        <v>Civil</v>
      </c>
      <c r="E340" s="6">
        <v>61.0</v>
      </c>
      <c r="F340" s="6">
        <v>59.0</v>
      </c>
      <c r="G340" s="6">
        <v>93.0</v>
      </c>
      <c r="H340" s="8">
        <v>0.77</v>
      </c>
      <c r="I340" s="7">
        <v>45900.0</v>
      </c>
      <c r="J340" s="6" t="s">
        <v>17</v>
      </c>
      <c r="K340" s="8">
        <v>0.76</v>
      </c>
      <c r="L340" s="9">
        <f>E340*Scoring_Weights!$B$2 + F340*Scoring_Weights!$B$3 + G340*Scoring_Weights!$B$4</f>
        <v>76.3</v>
      </c>
      <c r="M340" s="6" t="str">
        <f>IF(AND(H340&gt;=(VLOOKUP(J340,Interview_Slots!$A$2:$D$5,4,FALSE)/100), L340&gt;=VLOOKUP(J340,Interview_Slots!$A$2:$D$5,3,FALSE)), "Eligible", "Not Eligible")</f>
        <v>Eligible</v>
      </c>
    </row>
    <row r="341">
      <c r="A341" s="6" t="s">
        <v>712</v>
      </c>
      <c r="B341" s="6" t="s">
        <v>713</v>
      </c>
      <c r="C341" s="6" t="s">
        <v>59</v>
      </c>
      <c r="D341" s="7" t="str">
        <f>VLOOKUP(C341, Dept_Lookup!$A$2:$B$17, 2, FALSE)</f>
        <v>Civil</v>
      </c>
      <c r="E341" s="6">
        <v>74.0</v>
      </c>
      <c r="F341" s="6">
        <v>65.0</v>
      </c>
      <c r="G341" s="6">
        <v>60.0</v>
      </c>
      <c r="H341" s="8">
        <v>0.86</v>
      </c>
      <c r="I341" s="7">
        <v>45893.0</v>
      </c>
      <c r="J341" s="6" t="s">
        <v>21</v>
      </c>
      <c r="K341" s="8">
        <v>0.94</v>
      </c>
      <c r="L341" s="9">
        <f>E341*Scoring_Weights!$B$2 + F341*Scoring_Weights!$B$3 + G341*Scoring_Weights!$B$4</f>
        <v>63.85</v>
      </c>
      <c r="M341" s="6" t="str">
        <f>IF(AND(H341&gt;=(VLOOKUP(J341,Interview_Slots!$A$2:$D$5,4,FALSE)/100), L341&gt;=VLOOKUP(J341,Interview_Slots!$A$2:$D$5,3,FALSE)), "Eligible", "Not Eligible")</f>
        <v>Not Eligible</v>
      </c>
    </row>
    <row r="342">
      <c r="A342" s="6" t="s">
        <v>714</v>
      </c>
      <c r="B342" s="6" t="s">
        <v>715</v>
      </c>
      <c r="C342" s="6" t="s">
        <v>62</v>
      </c>
      <c r="D342" s="7" t="str">
        <f>VLOOKUP(C342, Dept_Lookup!$A$2:$B$17, 2, FALSE)</f>
        <v>Civil</v>
      </c>
      <c r="E342" s="6">
        <v>72.0</v>
      </c>
      <c r="F342" s="6">
        <v>82.0</v>
      </c>
      <c r="G342" s="6">
        <v>61.0</v>
      </c>
      <c r="H342" s="8">
        <v>0.75</v>
      </c>
      <c r="I342" s="7">
        <v>45887.0</v>
      </c>
      <c r="J342" s="6" t="s">
        <v>21</v>
      </c>
      <c r="K342" s="8">
        <v>0.94</v>
      </c>
      <c r="L342" s="9">
        <f>E342*Scoring_Weights!$B$2 + F342*Scoring_Weights!$B$3 + G342*Scoring_Weights!$B$4</f>
        <v>70</v>
      </c>
      <c r="M342" s="6" t="str">
        <f>IF(AND(H342&gt;=(VLOOKUP(J342,Interview_Slots!$A$2:$D$5,4,FALSE)/100), L342&gt;=VLOOKUP(J342,Interview_Slots!$A$2:$D$5,3,FALSE)), "Eligible", "Not Eligible")</f>
        <v>Not Eligible</v>
      </c>
    </row>
    <row r="343">
      <c r="A343" s="6" t="s">
        <v>716</v>
      </c>
      <c r="B343" s="6" t="s">
        <v>717</v>
      </c>
      <c r="C343" s="6" t="s">
        <v>16</v>
      </c>
      <c r="D343" s="7" t="str">
        <f>VLOOKUP(C343, Dept_Lookup!$A$2:$B$17, 2, FALSE)</f>
        <v>Computer Science</v>
      </c>
      <c r="E343" s="6">
        <v>79.0</v>
      </c>
      <c r="F343" s="6">
        <v>87.0</v>
      </c>
      <c r="G343" s="6">
        <v>91.0</v>
      </c>
      <c r="H343" s="8">
        <v>0.89</v>
      </c>
      <c r="I343" s="7">
        <v>45883.0</v>
      </c>
      <c r="J343" s="6" t="s">
        <v>32</v>
      </c>
      <c r="K343" s="8">
        <v>0.84</v>
      </c>
      <c r="L343" s="9">
        <f>E343*Scoring_Weights!$B$2 + F343*Scoring_Weights!$B$3 + G343*Scoring_Weights!$B$4</f>
        <v>87.8</v>
      </c>
      <c r="M343" s="6" t="str">
        <f>IF(AND(H343&gt;=(VLOOKUP(J343,Interview_Slots!$A$2:$D$5,4,FALSE)/100), L343&gt;=VLOOKUP(J343,Interview_Slots!$A$2:$D$5,3,FALSE)), "Eligible", "Not Eligible")</f>
        <v>Eligible</v>
      </c>
    </row>
    <row r="344">
      <c r="A344" s="6" t="s">
        <v>718</v>
      </c>
      <c r="B344" s="6" t="s">
        <v>719</v>
      </c>
      <c r="C344" s="6" t="s">
        <v>20</v>
      </c>
      <c r="D344" s="7" t="str">
        <f>VLOOKUP(C344, Dept_Lookup!$A$2:$B$17, 2, FALSE)</f>
        <v>Computer Science</v>
      </c>
      <c r="E344" s="6">
        <v>82.0</v>
      </c>
      <c r="F344" s="6">
        <v>94.0</v>
      </c>
      <c r="G344" s="6">
        <v>65.0</v>
      </c>
      <c r="H344" s="8">
        <v>0.89</v>
      </c>
      <c r="I344" s="7">
        <v>45913.0</v>
      </c>
      <c r="J344" s="6" t="s">
        <v>25</v>
      </c>
      <c r="K344" s="8">
        <v>0.94</v>
      </c>
      <c r="L344" s="9">
        <f>E344*Scoring_Weights!$B$2 + F344*Scoring_Weights!$B$3 + G344*Scoring_Weights!$B$4</f>
        <v>77.7</v>
      </c>
      <c r="M344" s="6" t="str">
        <f>IF(AND(H344&gt;=(VLOOKUP(J344,Interview_Slots!$A$2:$D$5,4,FALSE)/100), L344&gt;=VLOOKUP(J344,Interview_Slots!$A$2:$D$5,3,FALSE)), "Eligible", "Not Eligible")</f>
        <v>Eligible</v>
      </c>
    </row>
    <row r="345">
      <c r="A345" s="6" t="s">
        <v>720</v>
      </c>
      <c r="B345" s="6" t="s">
        <v>721</v>
      </c>
      <c r="C345" s="6" t="s">
        <v>24</v>
      </c>
      <c r="D345" s="7" t="str">
        <f>VLOOKUP(C345, Dept_Lookup!$A$2:$B$17, 2, FALSE)</f>
        <v>Computer Science</v>
      </c>
      <c r="E345" s="6">
        <v>98.0</v>
      </c>
      <c r="F345" s="6">
        <v>94.0</v>
      </c>
      <c r="G345" s="6">
        <v>66.0</v>
      </c>
      <c r="H345" s="8">
        <v>0.79</v>
      </c>
      <c r="I345" s="7">
        <v>45876.0</v>
      </c>
      <c r="J345" s="6" t="s">
        <v>17</v>
      </c>
      <c r="K345" s="8">
        <v>0.88</v>
      </c>
      <c r="L345" s="9">
        <f>E345*Scoring_Weights!$B$2 + F345*Scoring_Weights!$B$3 + G345*Scoring_Weights!$B$4</f>
        <v>80.6</v>
      </c>
      <c r="M345" s="6" t="str">
        <f>IF(AND(H345&gt;=(VLOOKUP(J345,Interview_Slots!$A$2:$D$5,4,FALSE)/100), L345&gt;=VLOOKUP(J345,Interview_Slots!$A$2:$D$5,3,FALSE)), "Eligible", "Not Eligible")</f>
        <v>Eligible</v>
      </c>
    </row>
    <row r="346">
      <c r="A346" s="6" t="s">
        <v>722</v>
      </c>
      <c r="B346" s="6" t="s">
        <v>723</v>
      </c>
      <c r="C346" s="6" t="s">
        <v>28</v>
      </c>
      <c r="D346" s="7" t="str">
        <f>VLOOKUP(C346, Dept_Lookup!$A$2:$B$17, 2, FALSE)</f>
        <v>Computer Science</v>
      </c>
      <c r="E346" s="6">
        <v>81.0</v>
      </c>
      <c r="F346" s="6">
        <v>66.0</v>
      </c>
      <c r="G346" s="6">
        <v>75.0</v>
      </c>
      <c r="H346" s="8">
        <v>0.94</v>
      </c>
      <c r="I346" s="7">
        <v>45887.0</v>
      </c>
      <c r="J346" s="6" t="s">
        <v>25</v>
      </c>
      <c r="K346" s="8">
        <v>0.9</v>
      </c>
      <c r="L346" s="9">
        <f>E346*Scoring_Weights!$B$2 + F346*Scoring_Weights!$B$3 + G346*Scoring_Weights!$B$4</f>
        <v>72.75</v>
      </c>
      <c r="M346" s="6" t="str">
        <f>IF(AND(H346&gt;=(VLOOKUP(J346,Interview_Slots!$A$2:$D$5,4,FALSE)/100), L346&gt;=VLOOKUP(J346,Interview_Slots!$A$2:$D$5,3,FALSE)), "Eligible", "Not Eligible")</f>
        <v>Not Eligible</v>
      </c>
    </row>
    <row r="347">
      <c r="A347" s="6" t="s">
        <v>724</v>
      </c>
      <c r="B347" s="6" t="s">
        <v>725</v>
      </c>
      <c r="C347" s="6" t="s">
        <v>31</v>
      </c>
      <c r="D347" s="7" t="str">
        <f>VLOOKUP(C347, Dept_Lookup!$A$2:$B$17, 2, FALSE)</f>
        <v>Electronics</v>
      </c>
      <c r="E347" s="6">
        <v>93.0</v>
      </c>
      <c r="F347" s="6">
        <v>94.0</v>
      </c>
      <c r="G347" s="6">
        <v>72.0</v>
      </c>
      <c r="H347" s="8">
        <v>0.94</v>
      </c>
      <c r="I347" s="7">
        <v>45865.0</v>
      </c>
      <c r="J347" s="6" t="s">
        <v>17</v>
      </c>
      <c r="K347" s="8">
        <v>0.75</v>
      </c>
      <c r="L347" s="9">
        <f>E347*Scoring_Weights!$B$2 + F347*Scoring_Weights!$B$3 + G347*Scoring_Weights!$B$4</f>
        <v>82.85</v>
      </c>
      <c r="M347" s="6" t="str">
        <f>IF(AND(H347&gt;=(VLOOKUP(J347,Interview_Slots!$A$2:$D$5,4,FALSE)/100), L347&gt;=VLOOKUP(J347,Interview_Slots!$A$2:$D$5,3,FALSE)), "Eligible", "Not Eligible")</f>
        <v>Eligible</v>
      </c>
    </row>
    <row r="348">
      <c r="A348" s="6" t="s">
        <v>726</v>
      </c>
      <c r="B348" s="6" t="s">
        <v>727</v>
      </c>
      <c r="C348" s="6" t="s">
        <v>35</v>
      </c>
      <c r="D348" s="7" t="str">
        <f>VLOOKUP(C348, Dept_Lookup!$A$2:$B$17, 2, FALSE)</f>
        <v>Electronics</v>
      </c>
      <c r="E348" s="6">
        <v>55.0</v>
      </c>
      <c r="F348" s="6">
        <v>71.0</v>
      </c>
      <c r="G348" s="6">
        <v>92.0</v>
      </c>
      <c r="H348" s="8">
        <v>0.82</v>
      </c>
      <c r="I348" s="7">
        <v>45880.0</v>
      </c>
      <c r="J348" s="6" t="s">
        <v>32</v>
      </c>
      <c r="K348" s="8">
        <v>0.81</v>
      </c>
      <c r="L348" s="9">
        <f>E348*Scoring_Weights!$B$2 + F348*Scoring_Weights!$B$3 + G348*Scoring_Weights!$B$4</f>
        <v>79.1</v>
      </c>
      <c r="M348" s="6" t="str">
        <f>IF(AND(H348&gt;=(VLOOKUP(J348,Interview_Slots!$A$2:$D$5,4,FALSE)/100), L348&gt;=VLOOKUP(J348,Interview_Slots!$A$2:$D$5,3,FALSE)), "Eligible", "Not Eligible")</f>
        <v>Eligible</v>
      </c>
    </row>
    <row r="349">
      <c r="A349" s="6" t="s">
        <v>728</v>
      </c>
      <c r="B349" s="6" t="s">
        <v>729</v>
      </c>
      <c r="C349" s="6" t="s">
        <v>38</v>
      </c>
      <c r="D349" s="7" t="str">
        <f>VLOOKUP(C349, Dept_Lookup!$A$2:$B$17, 2, FALSE)</f>
        <v>Electronics</v>
      </c>
      <c r="E349" s="6">
        <v>91.0</v>
      </c>
      <c r="F349" s="6">
        <v>69.0</v>
      </c>
      <c r="G349" s="6">
        <v>85.0</v>
      </c>
      <c r="H349" s="8">
        <v>0.75</v>
      </c>
      <c r="I349" s="7">
        <v>45929.0</v>
      </c>
      <c r="J349" s="6" t="s">
        <v>17</v>
      </c>
      <c r="K349" s="8">
        <v>0.77</v>
      </c>
      <c r="L349" s="9">
        <f>E349*Scoring_Weights!$B$2 + F349*Scoring_Weights!$B$3 + G349*Scoring_Weights!$B$4</f>
        <v>80.3</v>
      </c>
      <c r="M349" s="6" t="str">
        <f>IF(AND(H349&gt;=(VLOOKUP(J349,Interview_Slots!$A$2:$D$5,4,FALSE)/100), L349&gt;=VLOOKUP(J349,Interview_Slots!$A$2:$D$5,3,FALSE)), "Eligible", "Not Eligible")</f>
        <v>Eligible</v>
      </c>
    </row>
    <row r="350">
      <c r="A350" s="6" t="s">
        <v>730</v>
      </c>
      <c r="B350" s="6" t="s">
        <v>731</v>
      </c>
      <c r="C350" s="6" t="s">
        <v>41</v>
      </c>
      <c r="D350" s="7" t="str">
        <f>VLOOKUP(C350, Dept_Lookup!$A$2:$B$17, 2, FALSE)</f>
        <v>Electronics</v>
      </c>
      <c r="E350" s="6">
        <v>78.0</v>
      </c>
      <c r="F350" s="6">
        <v>57.0</v>
      </c>
      <c r="G350" s="6">
        <v>64.0</v>
      </c>
      <c r="H350" s="8">
        <v>0.92</v>
      </c>
      <c r="I350" s="7">
        <v>45913.0</v>
      </c>
      <c r="J350" s="6" t="s">
        <v>21</v>
      </c>
      <c r="K350" s="8">
        <v>0.88</v>
      </c>
      <c r="L350" s="9">
        <f>E350*Scoring_Weights!$B$2 + F350*Scoring_Weights!$B$3 + G350*Scoring_Weights!$B$4</f>
        <v>63.65</v>
      </c>
      <c r="M350" s="6" t="str">
        <f>IF(AND(H350&gt;=(VLOOKUP(J350,Interview_Slots!$A$2:$D$5,4,FALSE)/100), L350&gt;=VLOOKUP(J350,Interview_Slots!$A$2:$D$5,3,FALSE)), "Eligible", "Not Eligible")</f>
        <v>Not Eligible</v>
      </c>
    </row>
    <row r="351">
      <c r="A351" s="6" t="s">
        <v>732</v>
      </c>
      <c r="B351" s="6" t="s">
        <v>733</v>
      </c>
      <c r="C351" s="6" t="s">
        <v>44</v>
      </c>
      <c r="D351" s="7" t="str">
        <f>VLOOKUP(C351, Dept_Lookup!$A$2:$B$17, 2, FALSE)</f>
        <v>Mechanical</v>
      </c>
      <c r="E351" s="6">
        <v>74.0</v>
      </c>
      <c r="F351" s="6">
        <v>86.0</v>
      </c>
      <c r="G351" s="6">
        <v>58.0</v>
      </c>
      <c r="H351" s="8">
        <v>0.95</v>
      </c>
      <c r="I351" s="7">
        <v>45872.0</v>
      </c>
      <c r="J351" s="6" t="s">
        <v>32</v>
      </c>
      <c r="K351" s="8">
        <v>0.93</v>
      </c>
      <c r="L351" s="9">
        <f>E351*Scoring_Weights!$B$2 + F351*Scoring_Weights!$B$3 + G351*Scoring_Weights!$B$4</f>
        <v>70.2</v>
      </c>
      <c r="M351" s="6" t="str">
        <f>IF(AND(H351&gt;=(VLOOKUP(J351,Interview_Slots!$A$2:$D$5,4,FALSE)/100), L351&gt;=VLOOKUP(J351,Interview_Slots!$A$2:$D$5,3,FALSE)), "Eligible", "Not Eligible")</f>
        <v>Eligible</v>
      </c>
    </row>
    <row r="352">
      <c r="A352" s="6" t="s">
        <v>734</v>
      </c>
      <c r="B352" s="6" t="s">
        <v>735</v>
      </c>
      <c r="C352" s="6" t="s">
        <v>47</v>
      </c>
      <c r="D352" s="7" t="str">
        <f>VLOOKUP(C352, Dept_Lookup!$A$2:$B$17, 2, FALSE)</f>
        <v>Mechanical</v>
      </c>
      <c r="E352" s="6">
        <v>77.0</v>
      </c>
      <c r="F352" s="6">
        <v>63.0</v>
      </c>
      <c r="G352" s="6">
        <v>80.0</v>
      </c>
      <c r="H352" s="8">
        <v>0.85</v>
      </c>
      <c r="I352" s="7">
        <v>45900.0</v>
      </c>
      <c r="J352" s="6" t="s">
        <v>32</v>
      </c>
      <c r="K352" s="8">
        <v>0.92</v>
      </c>
      <c r="L352" s="9">
        <f>E352*Scoring_Weights!$B$2 + F352*Scoring_Weights!$B$3 + G352*Scoring_Weights!$B$4</f>
        <v>73.6</v>
      </c>
      <c r="M352" s="6" t="str">
        <f>IF(AND(H352&gt;=(VLOOKUP(J352,Interview_Slots!$A$2:$D$5,4,FALSE)/100), L352&gt;=VLOOKUP(J352,Interview_Slots!$A$2:$D$5,3,FALSE)), "Eligible", "Not Eligible")</f>
        <v>Eligible</v>
      </c>
    </row>
    <row r="353">
      <c r="A353" s="6" t="s">
        <v>736</v>
      </c>
      <c r="B353" s="6" t="s">
        <v>737</v>
      </c>
      <c r="C353" s="6" t="s">
        <v>50</v>
      </c>
      <c r="D353" s="7" t="str">
        <f>VLOOKUP(C353, Dept_Lookup!$A$2:$B$17, 2, FALSE)</f>
        <v>Mechanical</v>
      </c>
      <c r="E353" s="6">
        <v>68.0</v>
      </c>
      <c r="F353" s="6">
        <v>88.0</v>
      </c>
      <c r="G353" s="6">
        <v>84.0</v>
      </c>
      <c r="H353" s="8">
        <v>0.88</v>
      </c>
      <c r="I353" s="7">
        <v>45929.0</v>
      </c>
      <c r="J353" s="6" t="s">
        <v>17</v>
      </c>
      <c r="K353" s="8">
        <v>0.83</v>
      </c>
      <c r="L353" s="9">
        <f>E353*Scoring_Weights!$B$2 + F353*Scoring_Weights!$B$3 + G353*Scoring_Weights!$B$4</f>
        <v>83</v>
      </c>
      <c r="M353" s="6" t="str">
        <f>IF(AND(H353&gt;=(VLOOKUP(J353,Interview_Slots!$A$2:$D$5,4,FALSE)/100), L353&gt;=VLOOKUP(J353,Interview_Slots!$A$2:$D$5,3,FALSE)), "Eligible", "Not Eligible")</f>
        <v>Eligible</v>
      </c>
    </row>
    <row r="354">
      <c r="A354" s="6" t="s">
        <v>738</v>
      </c>
      <c r="B354" s="6" t="s">
        <v>739</v>
      </c>
      <c r="C354" s="6" t="s">
        <v>53</v>
      </c>
      <c r="D354" s="7" t="str">
        <f>VLOOKUP(C354, Dept_Lookup!$A$2:$B$17, 2, FALSE)</f>
        <v>Mechanical</v>
      </c>
      <c r="E354" s="6">
        <v>93.0</v>
      </c>
      <c r="F354" s="6">
        <v>76.0</v>
      </c>
      <c r="G354" s="6">
        <v>87.0</v>
      </c>
      <c r="H354" s="8">
        <v>0.82</v>
      </c>
      <c r="I354" s="7">
        <v>45865.0</v>
      </c>
      <c r="J354" s="6" t="s">
        <v>21</v>
      </c>
      <c r="K354" s="8">
        <v>0.94</v>
      </c>
      <c r="L354" s="9">
        <f>E354*Scoring_Weights!$B$2 + F354*Scoring_Weights!$B$3 + G354*Scoring_Weights!$B$4</f>
        <v>84.05</v>
      </c>
      <c r="M354" s="6" t="str">
        <f>IF(AND(H354&gt;=(VLOOKUP(J354,Interview_Slots!$A$2:$D$5,4,FALSE)/100), L354&gt;=VLOOKUP(J354,Interview_Slots!$A$2:$D$5,3,FALSE)), "Eligible", "Not Eligible")</f>
        <v>Eligible</v>
      </c>
    </row>
    <row r="355">
      <c r="A355" s="6" t="s">
        <v>740</v>
      </c>
      <c r="B355" s="6" t="s">
        <v>741</v>
      </c>
      <c r="C355" s="6" t="s">
        <v>56</v>
      </c>
      <c r="D355" s="7" t="str">
        <f>VLOOKUP(C355, Dept_Lookup!$A$2:$B$17, 2, FALSE)</f>
        <v>Civil</v>
      </c>
      <c r="E355" s="6">
        <v>80.0</v>
      </c>
      <c r="F355" s="6">
        <v>89.0</v>
      </c>
      <c r="G355" s="6">
        <v>85.0</v>
      </c>
      <c r="H355" s="8">
        <v>0.92</v>
      </c>
      <c r="I355" s="7">
        <v>45897.0</v>
      </c>
      <c r="J355" s="6" t="s">
        <v>17</v>
      </c>
      <c r="K355" s="8">
        <v>0.75</v>
      </c>
      <c r="L355" s="9">
        <f>E355*Scoring_Weights!$B$2 + F355*Scoring_Weights!$B$3 + G355*Scoring_Weights!$B$4</f>
        <v>85.65</v>
      </c>
      <c r="M355" s="6" t="str">
        <f>IF(AND(H355&gt;=(VLOOKUP(J355,Interview_Slots!$A$2:$D$5,4,FALSE)/100), L355&gt;=VLOOKUP(J355,Interview_Slots!$A$2:$D$5,3,FALSE)), "Eligible", "Not Eligible")</f>
        <v>Eligible</v>
      </c>
    </row>
    <row r="356">
      <c r="A356" s="6" t="s">
        <v>742</v>
      </c>
      <c r="B356" s="6" t="s">
        <v>743</v>
      </c>
      <c r="C356" s="6" t="s">
        <v>59</v>
      </c>
      <c r="D356" s="7" t="str">
        <f>VLOOKUP(C356, Dept_Lookup!$A$2:$B$17, 2, FALSE)</f>
        <v>Civil</v>
      </c>
      <c r="E356" s="6">
        <v>68.0</v>
      </c>
      <c r="F356" s="6">
        <v>91.0</v>
      </c>
      <c r="G356" s="6">
        <v>65.0</v>
      </c>
      <c r="H356" s="8">
        <v>0.86</v>
      </c>
      <c r="I356" s="7">
        <v>45880.0</v>
      </c>
      <c r="J356" s="6" t="s">
        <v>21</v>
      </c>
      <c r="K356" s="8">
        <v>0.9</v>
      </c>
      <c r="L356" s="9">
        <f>E356*Scoring_Weights!$B$2 + F356*Scoring_Weights!$B$3 + G356*Scoring_Weights!$B$4</f>
        <v>74.55</v>
      </c>
      <c r="M356" s="6" t="str">
        <f>IF(AND(H356&gt;=(VLOOKUP(J356,Interview_Slots!$A$2:$D$5,4,FALSE)/100), L356&gt;=VLOOKUP(J356,Interview_Slots!$A$2:$D$5,3,FALSE)), "Eligible", "Not Eligible")</f>
        <v>Eligible</v>
      </c>
    </row>
    <row r="357">
      <c r="A357" s="6" t="s">
        <v>744</v>
      </c>
      <c r="B357" s="6" t="s">
        <v>745</v>
      </c>
      <c r="C357" s="6" t="s">
        <v>62</v>
      </c>
      <c r="D357" s="7" t="str">
        <f>VLOOKUP(C357, Dept_Lookup!$A$2:$B$17, 2, FALSE)</f>
        <v>Civil</v>
      </c>
      <c r="E357" s="6">
        <v>58.0</v>
      </c>
      <c r="F357" s="6">
        <v>95.0</v>
      </c>
      <c r="G357" s="6">
        <v>79.0</v>
      </c>
      <c r="H357" s="8">
        <v>0.85</v>
      </c>
      <c r="I357" s="7">
        <v>45900.0</v>
      </c>
      <c r="J357" s="6" t="s">
        <v>25</v>
      </c>
      <c r="K357" s="8">
        <v>0.84</v>
      </c>
      <c r="L357" s="9">
        <f>E357*Scoring_Weights!$B$2 + F357*Scoring_Weights!$B$3 + G357*Scoring_Weights!$B$4</f>
        <v>81.45</v>
      </c>
      <c r="M357" s="6" t="str">
        <f>IF(AND(H357&gt;=(VLOOKUP(J357,Interview_Slots!$A$2:$D$5,4,FALSE)/100), L357&gt;=VLOOKUP(J357,Interview_Slots!$A$2:$D$5,3,FALSE)), "Eligible", "Not Eligible")</f>
        <v>Eligible</v>
      </c>
    </row>
    <row r="358">
      <c r="A358" s="6" t="s">
        <v>746</v>
      </c>
      <c r="B358" s="6" t="s">
        <v>747</v>
      </c>
      <c r="C358" s="6" t="s">
        <v>65</v>
      </c>
      <c r="D358" s="7" t="str">
        <f>VLOOKUP(C358, Dept_Lookup!$A$2:$B$17, 2, FALSE)</f>
        <v>Civil</v>
      </c>
      <c r="E358" s="6">
        <v>95.0</v>
      </c>
      <c r="F358" s="6">
        <v>95.0</v>
      </c>
      <c r="G358" s="6">
        <v>65.0</v>
      </c>
      <c r="H358" s="8">
        <v>0.9</v>
      </c>
      <c r="I358" s="7">
        <v>45877.0</v>
      </c>
      <c r="J358" s="6" t="s">
        <v>25</v>
      </c>
      <c r="K358" s="8">
        <v>0.73</v>
      </c>
      <c r="L358" s="9">
        <f>E358*Scoring_Weights!$B$2 + F358*Scoring_Weights!$B$3 + G358*Scoring_Weights!$B$4</f>
        <v>80</v>
      </c>
      <c r="M358" s="6" t="str">
        <f>IF(AND(H358&gt;=(VLOOKUP(J358,Interview_Slots!$A$2:$D$5,4,FALSE)/100), L358&gt;=VLOOKUP(J358,Interview_Slots!$A$2:$D$5,3,FALSE)), "Eligible", "Not Eligible")</f>
        <v>Eligible</v>
      </c>
    </row>
    <row r="359">
      <c r="A359" s="6" t="s">
        <v>748</v>
      </c>
      <c r="B359" s="6" t="s">
        <v>749</v>
      </c>
      <c r="C359" s="6" t="s">
        <v>16</v>
      </c>
      <c r="D359" s="7" t="str">
        <f>VLOOKUP(C359, Dept_Lookup!$A$2:$B$17, 2, FALSE)</f>
        <v>Computer Science</v>
      </c>
      <c r="E359" s="6">
        <v>62.0</v>
      </c>
      <c r="F359" s="6">
        <v>73.0</v>
      </c>
      <c r="G359" s="6">
        <v>57.0</v>
      </c>
      <c r="H359" s="8">
        <v>0.9</v>
      </c>
      <c r="I359" s="7">
        <v>45860.0</v>
      </c>
      <c r="J359" s="6" t="s">
        <v>25</v>
      </c>
      <c r="K359" s="8">
        <v>0.79</v>
      </c>
      <c r="L359" s="9">
        <f>E359*Scoring_Weights!$B$2 + F359*Scoring_Weights!$B$3 + G359*Scoring_Weights!$B$4</f>
        <v>63.35</v>
      </c>
      <c r="M359" s="6" t="str">
        <f>IF(AND(H359&gt;=(VLOOKUP(J359,Interview_Slots!$A$2:$D$5,4,FALSE)/100), L359&gt;=VLOOKUP(J359,Interview_Slots!$A$2:$D$5,3,FALSE)), "Eligible", "Not Eligible")</f>
        <v>Not Eligible</v>
      </c>
    </row>
    <row r="360">
      <c r="A360" s="6" t="s">
        <v>750</v>
      </c>
      <c r="B360" s="6" t="s">
        <v>751</v>
      </c>
      <c r="C360" s="6" t="s">
        <v>20</v>
      </c>
      <c r="D360" s="7" t="str">
        <f>VLOOKUP(C360, Dept_Lookup!$A$2:$B$17, 2, FALSE)</f>
        <v>Computer Science</v>
      </c>
      <c r="E360" s="6">
        <v>71.0</v>
      </c>
      <c r="F360" s="6">
        <v>86.0</v>
      </c>
      <c r="G360" s="6">
        <v>96.0</v>
      </c>
      <c r="H360" s="8">
        <v>0.75</v>
      </c>
      <c r="I360" s="7">
        <v>45877.0</v>
      </c>
      <c r="J360" s="6" t="s">
        <v>17</v>
      </c>
      <c r="K360" s="8">
        <v>0.85</v>
      </c>
      <c r="L360" s="9">
        <f>E360*Scoring_Weights!$B$2 + F360*Scoring_Weights!$B$3 + G360*Scoring_Weights!$B$4</f>
        <v>88.75</v>
      </c>
      <c r="M360" s="6" t="str">
        <f>IF(AND(H360&gt;=(VLOOKUP(J360,Interview_Slots!$A$2:$D$5,4,FALSE)/100), L360&gt;=VLOOKUP(J360,Interview_Slots!$A$2:$D$5,3,FALSE)), "Eligible", "Not Eligible")</f>
        <v>Eligible</v>
      </c>
    </row>
    <row r="361">
      <c r="A361" s="6" t="s">
        <v>752</v>
      </c>
      <c r="B361" s="6" t="s">
        <v>753</v>
      </c>
      <c r="C361" s="6" t="s">
        <v>24</v>
      </c>
      <c r="D361" s="7" t="str">
        <f>VLOOKUP(C361, Dept_Lookup!$A$2:$B$17, 2, FALSE)</f>
        <v>Computer Science</v>
      </c>
      <c r="E361" s="6">
        <v>72.0</v>
      </c>
      <c r="F361" s="6">
        <v>82.0</v>
      </c>
      <c r="G361" s="6">
        <v>65.0</v>
      </c>
      <c r="H361" s="8">
        <v>0.89</v>
      </c>
      <c r="I361" s="7">
        <v>45893.0</v>
      </c>
      <c r="J361" s="6" t="s">
        <v>32</v>
      </c>
      <c r="K361" s="8">
        <v>0.86</v>
      </c>
      <c r="L361" s="9">
        <f>E361*Scoring_Weights!$B$2 + F361*Scoring_Weights!$B$3 + G361*Scoring_Weights!$B$4</f>
        <v>72</v>
      </c>
      <c r="M361" s="6" t="str">
        <f>IF(AND(H361&gt;=(VLOOKUP(J361,Interview_Slots!$A$2:$D$5,4,FALSE)/100), L361&gt;=VLOOKUP(J361,Interview_Slots!$A$2:$D$5,3,FALSE)), "Eligible", "Not Eligible")</f>
        <v>Eligible</v>
      </c>
    </row>
    <row r="362">
      <c r="A362" s="6" t="s">
        <v>754</v>
      </c>
      <c r="B362" s="6" t="s">
        <v>755</v>
      </c>
      <c r="C362" s="6" t="s">
        <v>28</v>
      </c>
      <c r="D362" s="7" t="str">
        <f>VLOOKUP(C362, Dept_Lookup!$A$2:$B$17, 2, FALSE)</f>
        <v>Computer Science</v>
      </c>
      <c r="E362" s="6">
        <v>93.0</v>
      </c>
      <c r="F362" s="6">
        <v>65.0</v>
      </c>
      <c r="G362" s="6">
        <v>60.0</v>
      </c>
      <c r="H362" s="8">
        <v>0.94</v>
      </c>
      <c r="I362" s="7">
        <v>45887.0</v>
      </c>
      <c r="J362" s="6" t="s">
        <v>17</v>
      </c>
      <c r="K362" s="8">
        <v>0.97</v>
      </c>
      <c r="L362" s="9">
        <f>E362*Scoring_Weights!$B$2 + F362*Scoring_Weights!$B$3 + G362*Scoring_Weights!$B$4</f>
        <v>66.7</v>
      </c>
      <c r="M362" s="6" t="str">
        <f>IF(AND(H362&gt;=(VLOOKUP(J362,Interview_Slots!$A$2:$D$5,4,FALSE)/100), L362&gt;=VLOOKUP(J362,Interview_Slots!$A$2:$D$5,3,FALSE)), "Eligible", "Not Eligible")</f>
        <v>Eligible</v>
      </c>
    </row>
    <row r="363">
      <c r="A363" s="6" t="s">
        <v>756</v>
      </c>
      <c r="B363" s="6" t="s">
        <v>757</v>
      </c>
      <c r="C363" s="6" t="s">
        <v>31</v>
      </c>
      <c r="D363" s="7" t="str">
        <f>VLOOKUP(C363, Dept_Lookup!$A$2:$B$17, 2, FALSE)</f>
        <v>Electronics</v>
      </c>
      <c r="E363" s="6">
        <v>55.0</v>
      </c>
      <c r="F363" s="6">
        <v>80.0</v>
      </c>
      <c r="G363" s="6">
        <v>72.0</v>
      </c>
      <c r="H363" s="8">
        <v>0.77</v>
      </c>
      <c r="I363" s="7">
        <v>45871.0</v>
      </c>
      <c r="J363" s="6" t="s">
        <v>21</v>
      </c>
      <c r="K363" s="8">
        <v>0.82</v>
      </c>
      <c r="L363" s="9">
        <f>E363*Scoring_Weights!$B$2 + F363*Scoring_Weights!$B$3 + G363*Scoring_Weights!$B$4</f>
        <v>72.25</v>
      </c>
      <c r="M363" s="6" t="str">
        <f>IF(AND(H363&gt;=(VLOOKUP(J363,Interview_Slots!$A$2:$D$5,4,FALSE)/100), L363&gt;=VLOOKUP(J363,Interview_Slots!$A$2:$D$5,3,FALSE)), "Eligible", "Not Eligible")</f>
        <v>Not Eligible</v>
      </c>
    </row>
    <row r="364">
      <c r="A364" s="6" t="s">
        <v>758</v>
      </c>
      <c r="B364" s="6" t="s">
        <v>759</v>
      </c>
      <c r="C364" s="6" t="s">
        <v>35</v>
      </c>
      <c r="D364" s="7" t="str">
        <f>VLOOKUP(C364, Dept_Lookup!$A$2:$B$17, 2, FALSE)</f>
        <v>Electronics</v>
      </c>
      <c r="E364" s="6">
        <v>55.0</v>
      </c>
      <c r="F364" s="6">
        <v>65.0</v>
      </c>
      <c r="G364" s="6">
        <v>92.0</v>
      </c>
      <c r="H364" s="8">
        <v>0.91</v>
      </c>
      <c r="I364" s="7">
        <v>45882.0</v>
      </c>
      <c r="J364" s="6" t="s">
        <v>32</v>
      </c>
      <c r="K364" s="8">
        <v>0.78</v>
      </c>
      <c r="L364" s="9">
        <f>E364*Scoring_Weights!$B$2 + F364*Scoring_Weights!$B$3 + G364*Scoring_Weights!$B$4</f>
        <v>77</v>
      </c>
      <c r="M364" s="6" t="str">
        <f>IF(AND(H364&gt;=(VLOOKUP(J364,Interview_Slots!$A$2:$D$5,4,FALSE)/100), L364&gt;=VLOOKUP(J364,Interview_Slots!$A$2:$D$5,3,FALSE)), "Eligible", "Not Eligible")</f>
        <v>Eligible</v>
      </c>
    </row>
    <row r="365">
      <c r="A365" s="6" t="s">
        <v>760</v>
      </c>
      <c r="B365" s="6" t="s">
        <v>761</v>
      </c>
      <c r="C365" s="6" t="s">
        <v>38</v>
      </c>
      <c r="D365" s="7" t="str">
        <f>VLOOKUP(C365, Dept_Lookup!$A$2:$B$17, 2, FALSE)</f>
        <v>Electronics</v>
      </c>
      <c r="E365" s="6">
        <v>83.0</v>
      </c>
      <c r="F365" s="6">
        <v>81.0</v>
      </c>
      <c r="G365" s="6">
        <v>71.0</v>
      </c>
      <c r="H365" s="8">
        <v>0.81</v>
      </c>
      <c r="I365" s="7">
        <v>45876.0</v>
      </c>
      <c r="J365" s="6" t="s">
        <v>32</v>
      </c>
      <c r="K365" s="8">
        <v>0.99</v>
      </c>
      <c r="L365" s="9">
        <f>E365*Scoring_Weights!$B$2 + F365*Scoring_Weights!$B$3 + G365*Scoring_Weights!$B$4</f>
        <v>76.3</v>
      </c>
      <c r="M365" s="6" t="str">
        <f>IF(AND(H365&gt;=(VLOOKUP(J365,Interview_Slots!$A$2:$D$5,4,FALSE)/100), L365&gt;=VLOOKUP(J365,Interview_Slots!$A$2:$D$5,3,FALSE)), "Eligible", "Not Eligible")</f>
        <v>Eligible</v>
      </c>
    </row>
    <row r="366">
      <c r="A366" s="6" t="s">
        <v>762</v>
      </c>
      <c r="B366" s="6" t="s">
        <v>763</v>
      </c>
      <c r="C366" s="6" t="s">
        <v>41</v>
      </c>
      <c r="D366" s="7" t="str">
        <f>VLOOKUP(C366, Dept_Lookup!$A$2:$B$17, 2, FALSE)</f>
        <v>Electronics</v>
      </c>
      <c r="E366" s="6">
        <v>82.0</v>
      </c>
      <c r="F366" s="6">
        <v>92.0</v>
      </c>
      <c r="G366" s="6">
        <v>64.0</v>
      </c>
      <c r="H366" s="8">
        <v>0.95</v>
      </c>
      <c r="I366" s="7">
        <v>45854.0</v>
      </c>
      <c r="J366" s="6" t="s">
        <v>17</v>
      </c>
      <c r="K366" s="8">
        <v>0.98</v>
      </c>
      <c r="L366" s="9">
        <f>E366*Scoring_Weights!$B$2 + F366*Scoring_Weights!$B$3 + G366*Scoring_Weights!$B$4</f>
        <v>76.5</v>
      </c>
      <c r="M366" s="6" t="str">
        <f>IF(AND(H366&gt;=(VLOOKUP(J366,Interview_Slots!$A$2:$D$5,4,FALSE)/100), L366&gt;=VLOOKUP(J366,Interview_Slots!$A$2:$D$5,3,FALSE)), "Eligible", "Not Eligible")</f>
        <v>Eligible</v>
      </c>
    </row>
    <row r="367">
      <c r="A367" s="6" t="s">
        <v>764</v>
      </c>
      <c r="B367" s="6" t="s">
        <v>765</v>
      </c>
      <c r="C367" s="6" t="s">
        <v>44</v>
      </c>
      <c r="D367" s="7" t="str">
        <f>VLOOKUP(C367, Dept_Lookup!$A$2:$B$17, 2, FALSE)</f>
        <v>Mechanical</v>
      </c>
      <c r="E367" s="6">
        <v>97.0</v>
      </c>
      <c r="F367" s="6">
        <v>91.0</v>
      </c>
      <c r="G367" s="6">
        <v>55.0</v>
      </c>
      <c r="H367" s="8">
        <v>0.77</v>
      </c>
      <c r="I367" s="11">
        <v>45898.0</v>
      </c>
      <c r="J367" s="6" t="s">
        <v>21</v>
      </c>
      <c r="K367" s="8">
        <v>1.0</v>
      </c>
      <c r="L367" s="9">
        <f>E367*Scoring_Weights!$B$2 + F367*Scoring_Weights!$B$3 + G367*Scoring_Weights!$B$4</f>
        <v>73.9</v>
      </c>
      <c r="M367" s="6" t="str">
        <f>IF(AND(H367&gt;=(VLOOKUP(J367,Interview_Slots!$A$2:$D$5,4,FALSE)/100), L367&gt;=VLOOKUP(J367,Interview_Slots!$A$2:$D$5,3,FALSE)), "Eligible", "Not Eligible")</f>
        <v>Not Eligible</v>
      </c>
    </row>
    <row r="368">
      <c r="A368" s="6" t="s">
        <v>766</v>
      </c>
      <c r="B368" s="6" t="s">
        <v>767</v>
      </c>
      <c r="C368" s="6" t="s">
        <v>47</v>
      </c>
      <c r="D368" s="7" t="str">
        <f>VLOOKUP(C368, Dept_Lookup!$A$2:$B$17, 2, FALSE)</f>
        <v>Mechanical</v>
      </c>
      <c r="E368" s="6">
        <v>97.0</v>
      </c>
      <c r="F368" s="6">
        <v>80.0</v>
      </c>
      <c r="G368" s="6">
        <v>88.0</v>
      </c>
      <c r="H368" s="8">
        <v>0.84</v>
      </c>
      <c r="I368" s="7">
        <v>45889.0</v>
      </c>
      <c r="J368" s="6" t="s">
        <v>32</v>
      </c>
      <c r="K368" s="8">
        <v>0.77</v>
      </c>
      <c r="L368" s="9">
        <f>E368*Scoring_Weights!$B$2 + F368*Scoring_Weights!$B$3 + G368*Scoring_Weights!$B$4</f>
        <v>86.55</v>
      </c>
      <c r="M368" s="6" t="str">
        <f>IF(AND(H368&gt;=(VLOOKUP(J368,Interview_Slots!$A$2:$D$5,4,FALSE)/100), L368&gt;=VLOOKUP(J368,Interview_Slots!$A$2:$D$5,3,FALSE)), "Eligible", "Not Eligible")</f>
        <v>Eligible</v>
      </c>
    </row>
    <row r="369">
      <c r="A369" s="6" t="s">
        <v>768</v>
      </c>
      <c r="B369" s="6" t="s">
        <v>769</v>
      </c>
      <c r="C369" s="6" t="s">
        <v>50</v>
      </c>
      <c r="D369" s="7" t="str">
        <f>VLOOKUP(C369, Dept_Lookup!$A$2:$B$17, 2, FALSE)</f>
        <v>Mechanical</v>
      </c>
      <c r="E369" s="6">
        <v>94.0</v>
      </c>
      <c r="F369" s="6">
        <v>78.0</v>
      </c>
      <c r="G369" s="6">
        <v>94.0</v>
      </c>
      <c r="H369" s="8">
        <v>0.82</v>
      </c>
      <c r="I369" s="7">
        <v>45878.0</v>
      </c>
      <c r="J369" s="6" t="s">
        <v>21</v>
      </c>
      <c r="K369" s="8">
        <v>0.79</v>
      </c>
      <c r="L369" s="9">
        <f>E369*Scoring_Weights!$B$2 + F369*Scoring_Weights!$B$3 + G369*Scoring_Weights!$B$4</f>
        <v>88.4</v>
      </c>
      <c r="M369" s="6" t="str">
        <f>IF(AND(H369&gt;=(VLOOKUP(J369,Interview_Slots!$A$2:$D$5,4,FALSE)/100), L369&gt;=VLOOKUP(J369,Interview_Slots!$A$2:$D$5,3,FALSE)), "Eligible", "Not Eligible")</f>
        <v>Eligible</v>
      </c>
    </row>
    <row r="370">
      <c r="A370" s="6" t="s">
        <v>770</v>
      </c>
      <c r="B370" s="6" t="s">
        <v>771</v>
      </c>
      <c r="C370" s="6" t="s">
        <v>53</v>
      </c>
      <c r="D370" s="7" t="str">
        <f>VLOOKUP(C370, Dept_Lookup!$A$2:$B$17, 2, FALSE)</f>
        <v>Mechanical</v>
      </c>
      <c r="E370" s="6">
        <v>75.0</v>
      </c>
      <c r="F370" s="6">
        <v>89.0</v>
      </c>
      <c r="G370" s="6">
        <v>62.0</v>
      </c>
      <c r="H370" s="8">
        <v>0.86</v>
      </c>
      <c r="I370" s="7">
        <v>45919.0</v>
      </c>
      <c r="J370" s="6" t="s">
        <v>25</v>
      </c>
      <c r="K370" s="8">
        <v>0.94</v>
      </c>
      <c r="L370" s="9">
        <f>E370*Scoring_Weights!$B$2 + F370*Scoring_Weights!$B$3 + G370*Scoring_Weights!$B$4</f>
        <v>73.4</v>
      </c>
      <c r="M370" s="6" t="str">
        <f>IF(AND(H370&gt;=(VLOOKUP(J370,Interview_Slots!$A$2:$D$5,4,FALSE)/100), L370&gt;=VLOOKUP(J370,Interview_Slots!$A$2:$D$5,3,FALSE)), "Eligible", "Not Eligible")</f>
        <v>Not Eligible</v>
      </c>
    </row>
    <row r="371">
      <c r="A371" s="6" t="s">
        <v>772</v>
      </c>
      <c r="B371" s="6" t="s">
        <v>773</v>
      </c>
      <c r="C371" s="6" t="s">
        <v>56</v>
      </c>
      <c r="D371" s="7" t="str">
        <f>VLOOKUP(C371, Dept_Lookup!$A$2:$B$17, 2, FALSE)</f>
        <v>Civil</v>
      </c>
      <c r="E371" s="6">
        <v>66.0</v>
      </c>
      <c r="F371" s="6">
        <v>84.0</v>
      </c>
      <c r="G371" s="6">
        <v>70.0</v>
      </c>
      <c r="H371" s="8">
        <v>0.8</v>
      </c>
      <c r="I371" s="7">
        <v>45872.0</v>
      </c>
      <c r="J371" s="6" t="s">
        <v>25</v>
      </c>
      <c r="K371" s="8">
        <v>0.86</v>
      </c>
      <c r="L371" s="9">
        <f>E371*Scoring_Weights!$B$2 + F371*Scoring_Weights!$B$3 + G371*Scoring_Weights!$B$4</f>
        <v>74.3</v>
      </c>
      <c r="M371" s="6" t="str">
        <f>IF(AND(H371&gt;=(VLOOKUP(J371,Interview_Slots!$A$2:$D$5,4,FALSE)/100), L371&gt;=VLOOKUP(J371,Interview_Slots!$A$2:$D$5,3,FALSE)), "Eligible", "Not Eligible")</f>
        <v>Not Eligible</v>
      </c>
    </row>
    <row r="372">
      <c r="A372" s="6" t="s">
        <v>774</v>
      </c>
      <c r="B372" s="6" t="s">
        <v>775</v>
      </c>
      <c r="C372" s="6" t="s">
        <v>59</v>
      </c>
      <c r="D372" s="7" t="str">
        <f>VLOOKUP(C372, Dept_Lookup!$A$2:$B$17, 2, FALSE)</f>
        <v>Civil</v>
      </c>
      <c r="E372" s="6">
        <v>73.0</v>
      </c>
      <c r="F372" s="6">
        <v>69.0</v>
      </c>
      <c r="G372" s="6">
        <v>84.0</v>
      </c>
      <c r="H372" s="8">
        <v>0.86</v>
      </c>
      <c r="I372" s="7">
        <v>45870.0</v>
      </c>
      <c r="J372" s="6" t="s">
        <v>25</v>
      </c>
      <c r="K372" s="8">
        <v>0.79</v>
      </c>
      <c r="L372" s="9">
        <f>E372*Scoring_Weights!$B$2 + F372*Scoring_Weights!$B$3 + G372*Scoring_Weights!$B$4</f>
        <v>77.1</v>
      </c>
      <c r="M372" s="6" t="str">
        <f>IF(AND(H372&gt;=(VLOOKUP(J372,Interview_Slots!$A$2:$D$5,4,FALSE)/100), L372&gt;=VLOOKUP(J372,Interview_Slots!$A$2:$D$5,3,FALSE)), "Eligible", "Not Eligible")</f>
        <v>Eligible</v>
      </c>
    </row>
    <row r="373">
      <c r="A373" s="6" t="s">
        <v>776</v>
      </c>
      <c r="B373" s="6" t="s">
        <v>777</v>
      </c>
      <c r="C373" s="6" t="s">
        <v>62</v>
      </c>
      <c r="D373" s="7" t="str">
        <f>VLOOKUP(C373, Dept_Lookup!$A$2:$B$17, 2, FALSE)</f>
        <v>Civil</v>
      </c>
      <c r="E373" s="6">
        <v>75.0</v>
      </c>
      <c r="F373" s="6">
        <v>78.0</v>
      </c>
      <c r="G373" s="6">
        <v>94.0</v>
      </c>
      <c r="H373" s="8">
        <v>0.87</v>
      </c>
      <c r="I373" s="7">
        <v>45915.0</v>
      </c>
      <c r="J373" s="6" t="s">
        <v>25</v>
      </c>
      <c r="K373" s="8">
        <v>0.78</v>
      </c>
      <c r="L373" s="9">
        <f>E373*Scoring_Weights!$B$2 + F373*Scoring_Weights!$B$3 + G373*Scoring_Weights!$B$4</f>
        <v>85.55</v>
      </c>
      <c r="M373" s="6" t="str">
        <f>IF(AND(H373&gt;=(VLOOKUP(J373,Interview_Slots!$A$2:$D$5,4,FALSE)/100), L373&gt;=VLOOKUP(J373,Interview_Slots!$A$2:$D$5,3,FALSE)), "Eligible", "Not Eligible")</f>
        <v>Eligible</v>
      </c>
    </row>
    <row r="374">
      <c r="A374" s="6" t="s">
        <v>778</v>
      </c>
      <c r="B374" s="6" t="s">
        <v>779</v>
      </c>
      <c r="C374" s="6" t="s">
        <v>16</v>
      </c>
      <c r="D374" s="7" t="str">
        <f>VLOOKUP(C374, Dept_Lookup!$A$2:$B$17, 2, FALSE)</f>
        <v>Computer Science</v>
      </c>
      <c r="E374" s="6">
        <v>69.0</v>
      </c>
      <c r="F374" s="6">
        <v>81.0</v>
      </c>
      <c r="G374" s="6">
        <v>96.0</v>
      </c>
      <c r="H374" s="8">
        <v>0.8</v>
      </c>
      <c r="I374" s="7">
        <v>45854.0</v>
      </c>
      <c r="J374" s="6" t="s">
        <v>32</v>
      </c>
      <c r="K374" s="8">
        <v>0.82</v>
      </c>
      <c r="L374" s="9">
        <f>E374*Scoring_Weights!$B$2 + F374*Scoring_Weights!$B$3 + G374*Scoring_Weights!$B$4</f>
        <v>86.7</v>
      </c>
      <c r="M374" s="6" t="str">
        <f>IF(AND(H374&gt;=(VLOOKUP(J374,Interview_Slots!$A$2:$D$5,4,FALSE)/100), L374&gt;=VLOOKUP(J374,Interview_Slots!$A$2:$D$5,3,FALSE)), "Eligible", "Not Eligible")</f>
        <v>Eligible</v>
      </c>
    </row>
    <row r="375">
      <c r="A375" s="6" t="s">
        <v>780</v>
      </c>
      <c r="B375" s="6" t="s">
        <v>781</v>
      </c>
      <c r="C375" s="6" t="s">
        <v>20</v>
      </c>
      <c r="D375" s="7" t="str">
        <f>VLOOKUP(C375, Dept_Lookup!$A$2:$B$17, 2, FALSE)</f>
        <v>Computer Science</v>
      </c>
      <c r="E375" s="6">
        <v>76.0</v>
      </c>
      <c r="F375" s="6">
        <v>98.0</v>
      </c>
      <c r="G375" s="6">
        <v>83.0</v>
      </c>
      <c r="H375" s="8">
        <v>0.85</v>
      </c>
      <c r="I375" s="7">
        <v>45890.0</v>
      </c>
      <c r="J375" s="6" t="s">
        <v>17</v>
      </c>
      <c r="K375" s="8">
        <v>0.87</v>
      </c>
      <c r="L375" s="9">
        <f>E375*Scoring_Weights!$B$2 + F375*Scoring_Weights!$B$3 + G375*Scoring_Weights!$B$4</f>
        <v>87.2</v>
      </c>
      <c r="M375" s="6" t="str">
        <f>IF(AND(H375&gt;=(VLOOKUP(J375,Interview_Slots!$A$2:$D$5,4,FALSE)/100), L375&gt;=VLOOKUP(J375,Interview_Slots!$A$2:$D$5,3,FALSE)), "Eligible", "Not Eligible")</f>
        <v>Eligible</v>
      </c>
    </row>
    <row r="376">
      <c r="A376" s="6" t="s">
        <v>782</v>
      </c>
      <c r="B376" s="6" t="s">
        <v>783</v>
      </c>
      <c r="C376" s="6" t="s">
        <v>24</v>
      </c>
      <c r="D376" s="7" t="str">
        <f>VLOOKUP(C376, Dept_Lookup!$A$2:$B$17, 2, FALSE)</f>
        <v>Computer Science</v>
      </c>
      <c r="E376" s="6">
        <v>90.0</v>
      </c>
      <c r="F376" s="6">
        <v>74.0</v>
      </c>
      <c r="G376" s="6">
        <v>73.0</v>
      </c>
      <c r="H376" s="8">
        <v>0.9</v>
      </c>
      <c r="I376" s="7">
        <v>45872.0</v>
      </c>
      <c r="J376" s="6" t="s">
        <v>21</v>
      </c>
      <c r="K376" s="8">
        <v>0.96</v>
      </c>
      <c r="L376" s="9">
        <f>E376*Scoring_Weights!$B$2 + F376*Scoring_Weights!$B$3 + G376*Scoring_Weights!$B$4</f>
        <v>75.9</v>
      </c>
      <c r="M376" s="6" t="str">
        <f>IF(AND(H376&gt;=(VLOOKUP(J376,Interview_Slots!$A$2:$D$5,4,FALSE)/100), L376&gt;=VLOOKUP(J376,Interview_Slots!$A$2:$D$5,3,FALSE)), "Eligible", "Not Eligible")</f>
        <v>Eligible</v>
      </c>
    </row>
    <row r="377">
      <c r="A377" s="6" t="s">
        <v>784</v>
      </c>
      <c r="B377" s="6" t="s">
        <v>785</v>
      </c>
      <c r="C377" s="6" t="s">
        <v>28</v>
      </c>
      <c r="D377" s="7" t="str">
        <f>VLOOKUP(C377, Dept_Lookup!$A$2:$B$17, 2, FALSE)</f>
        <v>Computer Science</v>
      </c>
      <c r="E377" s="6">
        <v>63.0</v>
      </c>
      <c r="F377" s="6">
        <v>85.0</v>
      </c>
      <c r="G377" s="6">
        <v>93.0</v>
      </c>
      <c r="H377" s="8">
        <v>0.82</v>
      </c>
      <c r="I377" s="7">
        <v>45913.0</v>
      </c>
      <c r="J377" s="6" t="s">
        <v>32</v>
      </c>
      <c r="K377" s="8">
        <v>0.81</v>
      </c>
      <c r="L377" s="9">
        <f>E377*Scoring_Weights!$B$2 + F377*Scoring_Weights!$B$3 + G377*Scoring_Weights!$B$4</f>
        <v>85.7</v>
      </c>
      <c r="M377" s="6" t="str">
        <f>IF(AND(H377&gt;=(VLOOKUP(J377,Interview_Slots!$A$2:$D$5,4,FALSE)/100), L377&gt;=VLOOKUP(J377,Interview_Slots!$A$2:$D$5,3,FALSE)), "Eligible", "Not Eligible")</f>
        <v>Eligible</v>
      </c>
    </row>
    <row r="378">
      <c r="A378" s="6" t="s">
        <v>786</v>
      </c>
      <c r="B378" s="6" t="s">
        <v>787</v>
      </c>
      <c r="C378" s="6" t="s">
        <v>31</v>
      </c>
      <c r="D378" s="7" t="str">
        <f>VLOOKUP(C378, Dept_Lookup!$A$2:$B$17, 2, FALSE)</f>
        <v>Electronics</v>
      </c>
      <c r="E378" s="6">
        <v>73.0</v>
      </c>
      <c r="F378" s="6">
        <v>93.0</v>
      </c>
      <c r="G378" s="6">
        <v>59.0</v>
      </c>
      <c r="H378" s="8">
        <v>0.84</v>
      </c>
      <c r="I378" s="7">
        <v>45893.0</v>
      </c>
      <c r="J378" s="6" t="s">
        <v>32</v>
      </c>
      <c r="K378" s="8">
        <v>0.85</v>
      </c>
      <c r="L378" s="9">
        <f>E378*Scoring_Weights!$B$2 + F378*Scoring_Weights!$B$3 + G378*Scoring_Weights!$B$4</f>
        <v>73</v>
      </c>
      <c r="M378" s="6" t="str">
        <f>IF(AND(H378&gt;=(VLOOKUP(J378,Interview_Slots!$A$2:$D$5,4,FALSE)/100), L378&gt;=VLOOKUP(J378,Interview_Slots!$A$2:$D$5,3,FALSE)), "Eligible", "Not Eligible")</f>
        <v>Eligible</v>
      </c>
    </row>
    <row r="379">
      <c r="A379" s="6" t="s">
        <v>788</v>
      </c>
      <c r="B379" s="6" t="s">
        <v>789</v>
      </c>
      <c r="C379" s="6" t="s">
        <v>35</v>
      </c>
      <c r="D379" s="7" t="str">
        <f>VLOOKUP(C379, Dept_Lookup!$A$2:$B$17, 2, FALSE)</f>
        <v>Electronics</v>
      </c>
      <c r="E379" s="6">
        <v>89.0</v>
      </c>
      <c r="F379" s="6">
        <v>95.0</v>
      </c>
      <c r="G379" s="6">
        <v>80.0</v>
      </c>
      <c r="H379" s="8">
        <v>0.86</v>
      </c>
      <c r="I379" s="7">
        <v>45865.0</v>
      </c>
      <c r="J379" s="6" t="s">
        <v>17</v>
      </c>
      <c r="K379" s="8">
        <v>0.99</v>
      </c>
      <c r="L379" s="9">
        <f>E379*Scoring_Weights!$B$2 + F379*Scoring_Weights!$B$3 + G379*Scoring_Weights!$B$4</f>
        <v>86.6</v>
      </c>
      <c r="M379" s="6" t="str">
        <f>IF(AND(H379&gt;=(VLOOKUP(J379,Interview_Slots!$A$2:$D$5,4,FALSE)/100), L379&gt;=VLOOKUP(J379,Interview_Slots!$A$2:$D$5,3,FALSE)), "Eligible", "Not Eligible")</f>
        <v>Eligible</v>
      </c>
    </row>
    <row r="380">
      <c r="A380" s="6" t="s">
        <v>790</v>
      </c>
      <c r="B380" s="6" t="s">
        <v>791</v>
      </c>
      <c r="C380" s="6" t="s">
        <v>38</v>
      </c>
      <c r="D380" s="7" t="str">
        <f>VLOOKUP(C380, Dept_Lookup!$A$2:$B$17, 2, FALSE)</f>
        <v>Electronics</v>
      </c>
      <c r="E380" s="6">
        <v>78.0</v>
      </c>
      <c r="F380" s="6">
        <v>57.0</v>
      </c>
      <c r="G380" s="6">
        <v>80.0</v>
      </c>
      <c r="H380" s="8">
        <v>0.76</v>
      </c>
      <c r="I380" s="7">
        <v>45913.0</v>
      </c>
      <c r="J380" s="6" t="s">
        <v>21</v>
      </c>
      <c r="K380" s="8">
        <v>0.73</v>
      </c>
      <c r="L380" s="9">
        <f>E380*Scoring_Weights!$B$2 + F380*Scoring_Weights!$B$3 + G380*Scoring_Weights!$B$4</f>
        <v>71.65</v>
      </c>
      <c r="M380" s="6" t="str">
        <f>IF(AND(H380&gt;=(VLOOKUP(J380,Interview_Slots!$A$2:$D$5,4,FALSE)/100), L380&gt;=VLOOKUP(J380,Interview_Slots!$A$2:$D$5,3,FALSE)), "Eligible", "Not Eligible")</f>
        <v>Not Eligible</v>
      </c>
    </row>
    <row r="381">
      <c r="A381" s="6" t="s">
        <v>792</v>
      </c>
      <c r="B381" s="6" t="s">
        <v>793</v>
      </c>
      <c r="C381" s="6" t="s">
        <v>41</v>
      </c>
      <c r="D381" s="7" t="str">
        <f>VLOOKUP(C381, Dept_Lookup!$A$2:$B$17, 2, FALSE)</f>
        <v>Electronics</v>
      </c>
      <c r="E381" s="6">
        <v>75.0</v>
      </c>
      <c r="F381" s="6">
        <v>76.0</v>
      </c>
      <c r="G381" s="6">
        <v>55.0</v>
      </c>
      <c r="H381" s="8">
        <v>0.9</v>
      </c>
      <c r="I381" s="7">
        <v>45854.0</v>
      </c>
      <c r="J381" s="6" t="s">
        <v>21</v>
      </c>
      <c r="K381" s="8">
        <v>0.99</v>
      </c>
      <c r="L381" s="9">
        <f>E381*Scoring_Weights!$B$2 + F381*Scoring_Weights!$B$3 + G381*Scoring_Weights!$B$4</f>
        <v>65.35</v>
      </c>
      <c r="M381" s="6" t="str">
        <f>IF(AND(H381&gt;=(VLOOKUP(J381,Interview_Slots!$A$2:$D$5,4,FALSE)/100), L381&gt;=VLOOKUP(J381,Interview_Slots!$A$2:$D$5,3,FALSE)), "Eligible", "Not Eligible")</f>
        <v>Not Eligible</v>
      </c>
    </row>
    <row r="382">
      <c r="A382" s="6" t="s">
        <v>794</v>
      </c>
      <c r="B382" s="6" t="s">
        <v>795</v>
      </c>
      <c r="C382" s="6" t="s">
        <v>44</v>
      </c>
      <c r="D382" s="7" t="str">
        <f>VLOOKUP(C382, Dept_Lookup!$A$2:$B$17, 2, FALSE)</f>
        <v>Mechanical</v>
      </c>
      <c r="E382" s="6">
        <v>98.0</v>
      </c>
      <c r="F382" s="6">
        <v>81.0</v>
      </c>
      <c r="G382" s="6">
        <v>97.0</v>
      </c>
      <c r="H382" s="8">
        <v>0.78</v>
      </c>
      <c r="I382" s="7">
        <v>45886.0</v>
      </c>
      <c r="J382" s="6" t="s">
        <v>17</v>
      </c>
      <c r="K382" s="8">
        <v>0.82</v>
      </c>
      <c r="L382" s="9">
        <f>E382*Scoring_Weights!$B$2 + F382*Scoring_Weights!$B$3 + G382*Scoring_Weights!$B$4</f>
        <v>91.55</v>
      </c>
      <c r="M382" s="6" t="str">
        <f>IF(AND(H382&gt;=(VLOOKUP(J382,Interview_Slots!$A$2:$D$5,4,FALSE)/100), L382&gt;=VLOOKUP(J382,Interview_Slots!$A$2:$D$5,3,FALSE)), "Eligible", "Not Eligible")</f>
        <v>Eligible</v>
      </c>
    </row>
    <row r="383">
      <c r="A383" s="6" t="s">
        <v>796</v>
      </c>
      <c r="B383" s="6" t="s">
        <v>797</v>
      </c>
      <c r="C383" s="6" t="s">
        <v>47</v>
      </c>
      <c r="D383" s="7" t="str">
        <f>VLOOKUP(C383, Dept_Lookup!$A$2:$B$17, 2, FALSE)</f>
        <v>Mechanical</v>
      </c>
      <c r="E383" s="6">
        <v>81.0</v>
      </c>
      <c r="F383" s="6">
        <v>71.0</v>
      </c>
      <c r="G383" s="6">
        <v>93.0</v>
      </c>
      <c r="H383" s="8">
        <v>0.89</v>
      </c>
      <c r="I383" s="7">
        <v>45880.0</v>
      </c>
      <c r="J383" s="6" t="s">
        <v>25</v>
      </c>
      <c r="K383" s="8">
        <v>0.93</v>
      </c>
      <c r="L383" s="9">
        <f>E383*Scoring_Weights!$B$2 + F383*Scoring_Weights!$B$3 + G383*Scoring_Weights!$B$4</f>
        <v>83.5</v>
      </c>
      <c r="M383" s="6" t="str">
        <f>IF(AND(H383&gt;=(VLOOKUP(J383,Interview_Slots!$A$2:$D$5,4,FALSE)/100), L383&gt;=VLOOKUP(J383,Interview_Slots!$A$2:$D$5,3,FALSE)), "Eligible", "Not Eligible")</f>
        <v>Eligible</v>
      </c>
    </row>
    <row r="384">
      <c r="A384" s="6" t="s">
        <v>798</v>
      </c>
      <c r="B384" s="6" t="s">
        <v>799</v>
      </c>
      <c r="C384" s="6" t="s">
        <v>50</v>
      </c>
      <c r="D384" s="7" t="str">
        <f>VLOOKUP(C384, Dept_Lookup!$A$2:$B$17, 2, FALSE)</f>
        <v>Mechanical</v>
      </c>
      <c r="E384" s="6">
        <v>92.0</v>
      </c>
      <c r="F384" s="6">
        <v>58.0</v>
      </c>
      <c r="G384" s="6">
        <v>75.0</v>
      </c>
      <c r="H384" s="8">
        <v>0.92</v>
      </c>
      <c r="I384" s="7">
        <v>45880.0</v>
      </c>
      <c r="J384" s="6" t="s">
        <v>25</v>
      </c>
      <c r="K384" s="8">
        <v>0.75</v>
      </c>
      <c r="L384" s="9">
        <f>E384*Scoring_Weights!$B$2 + F384*Scoring_Weights!$B$3 + G384*Scoring_Weights!$B$4</f>
        <v>71.6</v>
      </c>
      <c r="M384" s="6" t="str">
        <f>IF(AND(H384&gt;=(VLOOKUP(J384,Interview_Slots!$A$2:$D$5,4,FALSE)/100), L384&gt;=VLOOKUP(J384,Interview_Slots!$A$2:$D$5,3,FALSE)), "Eligible", "Not Eligible")</f>
        <v>Not Eligible</v>
      </c>
    </row>
    <row r="385">
      <c r="A385" s="6" t="s">
        <v>800</v>
      </c>
      <c r="B385" s="6" t="s">
        <v>801</v>
      </c>
      <c r="C385" s="6" t="s">
        <v>53</v>
      </c>
      <c r="D385" s="7" t="str">
        <f>VLOOKUP(C385, Dept_Lookup!$A$2:$B$17, 2, FALSE)</f>
        <v>Mechanical</v>
      </c>
      <c r="E385" s="6">
        <v>95.0</v>
      </c>
      <c r="F385" s="6">
        <v>55.0</v>
      </c>
      <c r="G385" s="6">
        <v>77.0</v>
      </c>
      <c r="H385" s="8">
        <v>0.77</v>
      </c>
      <c r="I385" s="7">
        <v>45866.0</v>
      </c>
      <c r="J385" s="6" t="s">
        <v>25</v>
      </c>
      <c r="K385" s="8">
        <v>0.76</v>
      </c>
      <c r="L385" s="9">
        <f>E385*Scoring_Weights!$B$2 + F385*Scoring_Weights!$B$3 + G385*Scoring_Weights!$B$4</f>
        <v>72</v>
      </c>
      <c r="M385" s="6" t="str">
        <f>IF(AND(H385&gt;=(VLOOKUP(J385,Interview_Slots!$A$2:$D$5,4,FALSE)/100), L385&gt;=VLOOKUP(J385,Interview_Slots!$A$2:$D$5,3,FALSE)), "Eligible", "Not Eligible")</f>
        <v>Not Eligible</v>
      </c>
    </row>
    <row r="386">
      <c r="A386" s="6" t="s">
        <v>802</v>
      </c>
      <c r="B386" s="6" t="s">
        <v>803</v>
      </c>
      <c r="C386" s="6" t="s">
        <v>56</v>
      </c>
      <c r="D386" s="7" t="str">
        <f>VLOOKUP(C386, Dept_Lookup!$A$2:$B$17, 2, FALSE)</f>
        <v>Civil</v>
      </c>
      <c r="E386" s="6">
        <v>75.0</v>
      </c>
      <c r="F386" s="6">
        <v>97.0</v>
      </c>
      <c r="G386" s="6">
        <v>66.0</v>
      </c>
      <c r="H386" s="8">
        <v>0.75</v>
      </c>
      <c r="I386" s="7">
        <v>45870.0</v>
      </c>
      <c r="J386" s="6" t="s">
        <v>17</v>
      </c>
      <c r="K386" s="8">
        <v>0.94</v>
      </c>
      <c r="L386" s="9">
        <f>E386*Scoring_Weights!$B$2 + F386*Scoring_Weights!$B$3 + G386*Scoring_Weights!$B$4</f>
        <v>78.2</v>
      </c>
      <c r="M386" s="6" t="str">
        <f>IF(AND(H386&gt;=(VLOOKUP(J386,Interview_Slots!$A$2:$D$5,4,FALSE)/100), L386&gt;=VLOOKUP(J386,Interview_Slots!$A$2:$D$5,3,FALSE)), "Eligible", "Not Eligible")</f>
        <v>Eligible</v>
      </c>
    </row>
    <row r="387">
      <c r="A387" s="6" t="s">
        <v>804</v>
      </c>
      <c r="B387" s="6" t="s">
        <v>805</v>
      </c>
      <c r="C387" s="6" t="s">
        <v>59</v>
      </c>
      <c r="D387" s="7" t="str">
        <f>VLOOKUP(C387, Dept_Lookup!$A$2:$B$17, 2, FALSE)</f>
        <v>Civil</v>
      </c>
      <c r="E387" s="6">
        <v>83.0</v>
      </c>
      <c r="F387" s="6">
        <v>66.0</v>
      </c>
      <c r="G387" s="6">
        <v>77.0</v>
      </c>
      <c r="H387" s="8">
        <v>0.76</v>
      </c>
      <c r="I387" s="7">
        <v>45893.0</v>
      </c>
      <c r="J387" s="6" t="s">
        <v>32</v>
      </c>
      <c r="K387" s="8">
        <v>0.88</v>
      </c>
      <c r="L387" s="9">
        <f>E387*Scoring_Weights!$B$2 + F387*Scoring_Weights!$B$3 + G387*Scoring_Weights!$B$4</f>
        <v>74.05</v>
      </c>
      <c r="M387" s="6" t="str">
        <f>IF(AND(H387&gt;=(VLOOKUP(J387,Interview_Slots!$A$2:$D$5,4,FALSE)/100), L387&gt;=VLOOKUP(J387,Interview_Slots!$A$2:$D$5,3,FALSE)), "Eligible", "Not Eligible")</f>
        <v>Eligible</v>
      </c>
    </row>
    <row r="388">
      <c r="A388" s="6" t="s">
        <v>806</v>
      </c>
      <c r="B388" s="6" t="s">
        <v>807</v>
      </c>
      <c r="C388" s="6" t="s">
        <v>62</v>
      </c>
      <c r="D388" s="7" t="str">
        <f>VLOOKUP(C388, Dept_Lookup!$A$2:$B$17, 2, FALSE)</f>
        <v>Civil</v>
      </c>
      <c r="E388" s="6">
        <v>72.0</v>
      </c>
      <c r="F388" s="6">
        <v>87.0</v>
      </c>
      <c r="G388" s="6">
        <v>78.0</v>
      </c>
      <c r="H388" s="8">
        <v>0.92</v>
      </c>
      <c r="I388" s="7">
        <v>45919.0</v>
      </c>
      <c r="J388" s="6" t="s">
        <v>17</v>
      </c>
      <c r="K388" s="8">
        <v>0.87</v>
      </c>
      <c r="L388" s="9">
        <f>E388*Scoring_Weights!$B$2 + F388*Scoring_Weights!$B$3 + G388*Scoring_Weights!$B$4</f>
        <v>80.25</v>
      </c>
      <c r="M388" s="6" t="str">
        <f>IF(AND(H388&gt;=(VLOOKUP(J388,Interview_Slots!$A$2:$D$5,4,FALSE)/100), L388&gt;=VLOOKUP(J388,Interview_Slots!$A$2:$D$5,3,FALSE)), "Eligible", "Not Eligible")</f>
        <v>Eligible</v>
      </c>
    </row>
    <row r="389">
      <c r="A389" s="6" t="s">
        <v>808</v>
      </c>
      <c r="B389" s="6" t="s">
        <v>809</v>
      </c>
      <c r="C389" s="6" t="s">
        <v>65</v>
      </c>
      <c r="D389" s="7" t="str">
        <f>VLOOKUP(C389, Dept_Lookup!$A$2:$B$17, 2, FALSE)</f>
        <v>Civil</v>
      </c>
      <c r="E389" s="6">
        <v>93.0</v>
      </c>
      <c r="F389" s="6">
        <v>61.0</v>
      </c>
      <c r="G389" s="6">
        <v>65.0</v>
      </c>
      <c r="H389" s="8">
        <v>0.79</v>
      </c>
      <c r="I389" s="7">
        <v>45865.0</v>
      </c>
      <c r="J389" s="6" t="s">
        <v>21</v>
      </c>
      <c r="K389" s="8">
        <v>0.76</v>
      </c>
      <c r="L389" s="9">
        <f>E389*Scoring_Weights!$B$2 + F389*Scoring_Weights!$B$3 + G389*Scoring_Weights!$B$4</f>
        <v>67.8</v>
      </c>
      <c r="M389" s="6" t="str">
        <f>IF(AND(H389&gt;=(VLOOKUP(J389,Interview_Slots!$A$2:$D$5,4,FALSE)/100), L389&gt;=VLOOKUP(J389,Interview_Slots!$A$2:$D$5,3,FALSE)), "Eligible", "Not Eligible")</f>
        <v>Not Eligible</v>
      </c>
    </row>
    <row r="390">
      <c r="A390" s="6" t="s">
        <v>810</v>
      </c>
      <c r="B390" s="6" t="s">
        <v>811</v>
      </c>
      <c r="C390" s="6" t="s">
        <v>16</v>
      </c>
      <c r="D390" s="7" t="str">
        <f>VLOOKUP(C390, Dept_Lookup!$A$2:$B$17, 2, FALSE)</f>
        <v>Computer Science</v>
      </c>
      <c r="E390" s="6">
        <v>98.0</v>
      </c>
      <c r="F390" s="6">
        <v>82.0</v>
      </c>
      <c r="G390" s="6">
        <v>59.0</v>
      </c>
      <c r="H390" s="8">
        <v>0.85</v>
      </c>
      <c r="I390" s="7">
        <v>45892.0</v>
      </c>
      <c r="J390" s="6" t="s">
        <v>32</v>
      </c>
      <c r="K390" s="8">
        <v>0.84</v>
      </c>
      <c r="L390" s="9">
        <f>E390*Scoring_Weights!$B$2 + F390*Scoring_Weights!$B$3 + G390*Scoring_Weights!$B$4</f>
        <v>72.9</v>
      </c>
      <c r="M390" s="6" t="str">
        <f>IF(AND(H390&gt;=(VLOOKUP(J390,Interview_Slots!$A$2:$D$5,4,FALSE)/100), L390&gt;=VLOOKUP(J390,Interview_Slots!$A$2:$D$5,3,FALSE)), "Eligible", "Not Eligible")</f>
        <v>Eligible</v>
      </c>
    </row>
    <row r="391">
      <c r="A391" s="6" t="s">
        <v>812</v>
      </c>
      <c r="B391" s="6" t="s">
        <v>813</v>
      </c>
      <c r="C391" s="6" t="s">
        <v>20</v>
      </c>
      <c r="D391" s="7" t="str">
        <f>VLOOKUP(C391, Dept_Lookup!$A$2:$B$17, 2, FALSE)</f>
        <v>Computer Science</v>
      </c>
      <c r="E391" s="6">
        <v>60.0</v>
      </c>
      <c r="F391" s="6">
        <v>82.0</v>
      </c>
      <c r="G391" s="6">
        <v>64.0</v>
      </c>
      <c r="H391" s="8">
        <v>0.82</v>
      </c>
      <c r="I391" s="7">
        <v>45893.0</v>
      </c>
      <c r="J391" s="6" t="s">
        <v>32</v>
      </c>
      <c r="K391" s="8">
        <v>0.82</v>
      </c>
      <c r="L391" s="9">
        <f>E391*Scoring_Weights!$B$2 + F391*Scoring_Weights!$B$3 + G391*Scoring_Weights!$B$4</f>
        <v>69.7</v>
      </c>
      <c r="M391" s="6" t="str">
        <f>IF(AND(H391&gt;=(VLOOKUP(J391,Interview_Slots!$A$2:$D$5,4,FALSE)/100), L391&gt;=VLOOKUP(J391,Interview_Slots!$A$2:$D$5,3,FALSE)), "Eligible", "Not Eligible")</f>
        <v>Eligible</v>
      </c>
    </row>
    <row r="392">
      <c r="A392" s="6" t="s">
        <v>814</v>
      </c>
      <c r="B392" s="6" t="s">
        <v>815</v>
      </c>
      <c r="C392" s="6" t="s">
        <v>24</v>
      </c>
      <c r="D392" s="7" t="str">
        <f>VLOOKUP(C392, Dept_Lookup!$A$2:$B$17, 2, FALSE)</f>
        <v>Computer Science</v>
      </c>
      <c r="E392" s="6">
        <v>72.0</v>
      </c>
      <c r="F392" s="6">
        <v>88.0</v>
      </c>
      <c r="G392" s="6">
        <v>57.0</v>
      </c>
      <c r="H392" s="8">
        <v>0.82</v>
      </c>
      <c r="I392" s="7">
        <v>45880.0</v>
      </c>
      <c r="J392" s="6" t="s">
        <v>17</v>
      </c>
      <c r="K392" s="8">
        <v>0.95</v>
      </c>
      <c r="L392" s="9">
        <f>E392*Scoring_Weights!$B$2 + F392*Scoring_Weights!$B$3 + G392*Scoring_Weights!$B$4</f>
        <v>70.1</v>
      </c>
      <c r="M392" s="6" t="str">
        <f>IF(AND(H392&gt;=(VLOOKUP(J392,Interview_Slots!$A$2:$D$5,4,FALSE)/100), L392&gt;=VLOOKUP(J392,Interview_Slots!$A$2:$D$5,3,FALSE)), "Eligible", "Not Eligible")</f>
        <v>Eligible</v>
      </c>
    </row>
    <row r="393">
      <c r="A393" s="6" t="s">
        <v>816</v>
      </c>
      <c r="B393" s="6" t="s">
        <v>817</v>
      </c>
      <c r="C393" s="6" t="s">
        <v>28</v>
      </c>
      <c r="D393" s="7" t="str">
        <f>VLOOKUP(C393, Dept_Lookup!$A$2:$B$17, 2, FALSE)</f>
        <v>Computer Science</v>
      </c>
      <c r="E393" s="6">
        <v>74.0</v>
      </c>
      <c r="F393" s="6">
        <v>58.0</v>
      </c>
      <c r="G393" s="6">
        <v>69.0</v>
      </c>
      <c r="H393" s="8">
        <v>0.83</v>
      </c>
      <c r="I393" s="7">
        <v>45865.0</v>
      </c>
      <c r="J393" s="6" t="s">
        <v>21</v>
      </c>
      <c r="K393" s="8">
        <v>0.92</v>
      </c>
      <c r="L393" s="9">
        <f>E393*Scoring_Weights!$B$2 + F393*Scoring_Weights!$B$3 + G393*Scoring_Weights!$B$4</f>
        <v>65.9</v>
      </c>
      <c r="M393" s="6" t="str">
        <f>IF(AND(H393&gt;=(VLOOKUP(J393,Interview_Slots!$A$2:$D$5,4,FALSE)/100), L393&gt;=VLOOKUP(J393,Interview_Slots!$A$2:$D$5,3,FALSE)), "Eligible", "Not Eligible")</f>
        <v>Not Eligible</v>
      </c>
    </row>
    <row r="394">
      <c r="A394" s="6" t="s">
        <v>818</v>
      </c>
      <c r="B394" s="6" t="s">
        <v>819</v>
      </c>
      <c r="C394" s="6" t="s">
        <v>31</v>
      </c>
      <c r="D394" s="7" t="str">
        <f>VLOOKUP(C394, Dept_Lookup!$A$2:$B$17, 2, FALSE)</f>
        <v>Electronics</v>
      </c>
      <c r="E394" s="6">
        <v>80.0</v>
      </c>
      <c r="F394" s="6">
        <v>64.0</v>
      </c>
      <c r="G394" s="6">
        <v>74.0</v>
      </c>
      <c r="H394" s="8">
        <v>0.86</v>
      </c>
      <c r="I394" s="7">
        <v>45865.0</v>
      </c>
      <c r="J394" s="6" t="s">
        <v>21</v>
      </c>
      <c r="K394" s="8">
        <v>0.9</v>
      </c>
      <c r="L394" s="9">
        <f>E394*Scoring_Weights!$B$2 + F394*Scoring_Weights!$B$3 + G394*Scoring_Weights!$B$4</f>
        <v>71.4</v>
      </c>
      <c r="M394" s="6" t="str">
        <f>IF(AND(H394&gt;=(VLOOKUP(J394,Interview_Slots!$A$2:$D$5,4,FALSE)/100), L394&gt;=VLOOKUP(J394,Interview_Slots!$A$2:$D$5,3,FALSE)), "Eligible", "Not Eligible")</f>
        <v>Eligible</v>
      </c>
    </row>
    <row r="395">
      <c r="A395" s="6" t="s">
        <v>820</v>
      </c>
      <c r="B395" s="6" t="s">
        <v>821</v>
      </c>
      <c r="C395" s="6" t="s">
        <v>35</v>
      </c>
      <c r="D395" s="7" t="str">
        <f>VLOOKUP(C395, Dept_Lookup!$A$2:$B$17, 2, FALSE)</f>
        <v>Electronics</v>
      </c>
      <c r="E395" s="6">
        <v>93.0</v>
      </c>
      <c r="F395" s="6">
        <v>83.0</v>
      </c>
      <c r="G395" s="6">
        <v>96.0</v>
      </c>
      <c r="H395" s="8">
        <v>0.92</v>
      </c>
      <c r="I395" s="7">
        <v>45870.0</v>
      </c>
      <c r="J395" s="6" t="s">
        <v>21</v>
      </c>
      <c r="K395" s="8">
        <v>1.0</v>
      </c>
      <c r="L395" s="9">
        <f>E395*Scoring_Weights!$B$2 + F395*Scoring_Weights!$B$3 + G395*Scoring_Weights!$B$4</f>
        <v>91</v>
      </c>
      <c r="M395" s="6" t="str">
        <f>IF(AND(H395&gt;=(VLOOKUP(J395,Interview_Slots!$A$2:$D$5,4,FALSE)/100), L395&gt;=VLOOKUP(J395,Interview_Slots!$A$2:$D$5,3,FALSE)), "Eligible", "Not Eligible")</f>
        <v>Eligible</v>
      </c>
    </row>
    <row r="396">
      <c r="A396" s="6" t="s">
        <v>822</v>
      </c>
      <c r="B396" s="6" t="s">
        <v>823</v>
      </c>
      <c r="C396" s="6" t="s">
        <v>38</v>
      </c>
      <c r="D396" s="7" t="str">
        <f>VLOOKUP(C396, Dept_Lookup!$A$2:$B$17, 2, FALSE)</f>
        <v>Electronics</v>
      </c>
      <c r="E396" s="6">
        <v>76.0</v>
      </c>
      <c r="F396" s="6">
        <v>86.0</v>
      </c>
      <c r="G396" s="6">
        <v>76.0</v>
      </c>
      <c r="H396" s="8">
        <v>0.85</v>
      </c>
      <c r="I396" s="7">
        <v>45895.0</v>
      </c>
      <c r="J396" s="6" t="s">
        <v>25</v>
      </c>
      <c r="K396" s="8">
        <v>0.75</v>
      </c>
      <c r="L396" s="9">
        <f>E396*Scoring_Weights!$B$2 + F396*Scoring_Weights!$B$3 + G396*Scoring_Weights!$B$4</f>
        <v>79.5</v>
      </c>
      <c r="M396" s="6" t="str">
        <f>IF(AND(H396&gt;=(VLOOKUP(J396,Interview_Slots!$A$2:$D$5,4,FALSE)/100), L396&gt;=VLOOKUP(J396,Interview_Slots!$A$2:$D$5,3,FALSE)), "Eligible", "Not Eligible")</f>
        <v>Eligible</v>
      </c>
    </row>
    <row r="397">
      <c r="A397" s="6" t="s">
        <v>824</v>
      </c>
      <c r="B397" s="6" t="s">
        <v>825</v>
      </c>
      <c r="C397" s="6" t="s">
        <v>41</v>
      </c>
      <c r="D397" s="7" t="str">
        <f>VLOOKUP(C397, Dept_Lookup!$A$2:$B$17, 2, FALSE)</f>
        <v>Electronics</v>
      </c>
      <c r="E397" s="6">
        <v>93.0</v>
      </c>
      <c r="F397" s="6">
        <v>72.0</v>
      </c>
      <c r="G397" s="6">
        <v>79.0</v>
      </c>
      <c r="H397" s="8">
        <v>0.88</v>
      </c>
      <c r="I397" s="7">
        <v>45877.0</v>
      </c>
      <c r="J397" s="6" t="s">
        <v>25</v>
      </c>
      <c r="K397" s="8">
        <v>0.97</v>
      </c>
      <c r="L397" s="9">
        <f>E397*Scoring_Weights!$B$2 + F397*Scoring_Weights!$B$3 + G397*Scoring_Weights!$B$4</f>
        <v>78.65</v>
      </c>
      <c r="M397" s="6" t="str">
        <f>IF(AND(H397&gt;=(VLOOKUP(J397,Interview_Slots!$A$2:$D$5,4,FALSE)/100), L397&gt;=VLOOKUP(J397,Interview_Slots!$A$2:$D$5,3,FALSE)), "Eligible", "Not Eligible")</f>
        <v>Eligible</v>
      </c>
    </row>
    <row r="398">
      <c r="A398" s="6" t="s">
        <v>826</v>
      </c>
      <c r="B398" s="6" t="s">
        <v>827</v>
      </c>
      <c r="C398" s="6" t="s">
        <v>44</v>
      </c>
      <c r="D398" s="7" t="str">
        <f>VLOOKUP(C398, Dept_Lookup!$A$2:$B$17, 2, FALSE)</f>
        <v>Mechanical</v>
      </c>
      <c r="E398" s="6">
        <v>92.0</v>
      </c>
      <c r="F398" s="6">
        <v>76.0</v>
      </c>
      <c r="G398" s="6">
        <v>57.0</v>
      </c>
      <c r="H398" s="8">
        <v>0.84</v>
      </c>
      <c r="I398" s="7">
        <v>45880.0</v>
      </c>
      <c r="J398" s="6" t="s">
        <v>25</v>
      </c>
      <c r="K398" s="8">
        <v>0.79</v>
      </c>
      <c r="L398" s="9">
        <f>E398*Scoring_Weights!$B$2 + F398*Scoring_Weights!$B$3 + G398*Scoring_Weights!$B$4</f>
        <v>68.9</v>
      </c>
      <c r="M398" s="6" t="str">
        <f>IF(AND(H398&gt;=(VLOOKUP(J398,Interview_Slots!$A$2:$D$5,4,FALSE)/100), L398&gt;=VLOOKUP(J398,Interview_Slots!$A$2:$D$5,3,FALSE)), "Eligible", "Not Eligible")</f>
        <v>Not Eligible</v>
      </c>
    </row>
    <row r="399">
      <c r="A399" s="6" t="s">
        <v>828</v>
      </c>
      <c r="B399" s="6" t="s">
        <v>829</v>
      </c>
      <c r="C399" s="6" t="s">
        <v>47</v>
      </c>
      <c r="D399" s="7" t="str">
        <f>VLOOKUP(C399, Dept_Lookup!$A$2:$B$17, 2, FALSE)</f>
        <v>Mechanical</v>
      </c>
      <c r="E399" s="6">
        <v>88.0</v>
      </c>
      <c r="F399" s="6">
        <v>76.0</v>
      </c>
      <c r="G399" s="6">
        <v>94.0</v>
      </c>
      <c r="H399" s="8">
        <v>0.91</v>
      </c>
      <c r="I399" s="7">
        <v>45870.0</v>
      </c>
      <c r="J399" s="6" t="s">
        <v>17</v>
      </c>
      <c r="K399" s="8">
        <v>0.81</v>
      </c>
      <c r="L399" s="9">
        <f>E399*Scoring_Weights!$B$2 + F399*Scoring_Weights!$B$3 + G399*Scoring_Weights!$B$4</f>
        <v>86.8</v>
      </c>
      <c r="M399" s="6" t="str">
        <f>IF(AND(H399&gt;=(VLOOKUP(J399,Interview_Slots!$A$2:$D$5,4,FALSE)/100), L399&gt;=VLOOKUP(J399,Interview_Slots!$A$2:$D$5,3,FALSE)), "Eligible", "Not Eligible")</f>
        <v>Eligible</v>
      </c>
    </row>
    <row r="400">
      <c r="A400" s="6" t="s">
        <v>830</v>
      </c>
      <c r="B400" s="6" t="s">
        <v>831</v>
      </c>
      <c r="C400" s="6" t="s">
        <v>50</v>
      </c>
      <c r="D400" s="7" t="str">
        <f>VLOOKUP(C400, Dept_Lookup!$A$2:$B$17, 2, FALSE)</f>
        <v>Mechanical</v>
      </c>
      <c r="E400" s="6">
        <v>80.0</v>
      </c>
      <c r="F400" s="6">
        <v>63.0</v>
      </c>
      <c r="G400" s="6">
        <v>79.0</v>
      </c>
      <c r="H400" s="8">
        <v>0.79</v>
      </c>
      <c r="I400" s="7">
        <v>45878.0</v>
      </c>
      <c r="J400" s="6" t="s">
        <v>32</v>
      </c>
      <c r="K400" s="8">
        <v>0.93</v>
      </c>
      <c r="L400" s="9">
        <f>E400*Scoring_Weights!$B$2 + F400*Scoring_Weights!$B$3 + G400*Scoring_Weights!$B$4</f>
        <v>73.55</v>
      </c>
      <c r="M400" s="6" t="str">
        <f>IF(AND(H400&gt;=(VLOOKUP(J400,Interview_Slots!$A$2:$D$5,4,FALSE)/100), L400&gt;=VLOOKUP(J400,Interview_Slots!$A$2:$D$5,3,FALSE)), "Eligible", "Not Eligible")</f>
        <v>Eligible</v>
      </c>
    </row>
    <row r="401">
      <c r="A401" s="6" t="s">
        <v>832</v>
      </c>
      <c r="B401" s="6" t="s">
        <v>833</v>
      </c>
      <c r="C401" s="6" t="s">
        <v>53</v>
      </c>
      <c r="D401" s="7" t="str">
        <f>VLOOKUP(C401, Dept_Lookup!$A$2:$B$17, 2, FALSE)</f>
        <v>Mechanical</v>
      </c>
      <c r="E401" s="6">
        <v>70.0</v>
      </c>
      <c r="F401" s="6">
        <v>87.0</v>
      </c>
      <c r="G401" s="6">
        <v>72.0</v>
      </c>
      <c r="H401" s="8">
        <v>0.88</v>
      </c>
      <c r="I401" s="7">
        <v>45882.0</v>
      </c>
      <c r="J401" s="6" t="s">
        <v>17</v>
      </c>
      <c r="K401" s="8">
        <v>0.91</v>
      </c>
      <c r="L401" s="9">
        <f>E401*Scoring_Weights!$B$2 + F401*Scoring_Weights!$B$3 + G401*Scoring_Weights!$B$4</f>
        <v>76.95</v>
      </c>
      <c r="M401" s="6" t="str">
        <f>IF(AND(H401&gt;=(VLOOKUP(J401,Interview_Slots!$A$2:$D$5,4,FALSE)/100), L401&gt;=VLOOKUP(J401,Interview_Slots!$A$2:$D$5,3,FALSE)), "Eligible", "Not Eligible")</f>
        <v>Eligible</v>
      </c>
    </row>
    <row r="402">
      <c r="A402" s="6" t="s">
        <v>834</v>
      </c>
      <c r="B402" s="6" t="s">
        <v>835</v>
      </c>
      <c r="C402" s="6" t="s">
        <v>56</v>
      </c>
      <c r="D402" s="7" t="str">
        <f>VLOOKUP(C402, Dept_Lookup!$A$2:$B$17, 2, FALSE)</f>
        <v>Civil</v>
      </c>
      <c r="E402" s="6">
        <v>70.0</v>
      </c>
      <c r="F402" s="6">
        <v>73.0</v>
      </c>
      <c r="G402" s="6">
        <v>57.0</v>
      </c>
      <c r="H402" s="8">
        <v>0.76</v>
      </c>
      <c r="I402" s="7">
        <v>45880.0</v>
      </c>
      <c r="J402" s="6" t="s">
        <v>21</v>
      </c>
      <c r="K402" s="8">
        <v>0.83</v>
      </c>
      <c r="L402" s="9">
        <f>E402*Scoring_Weights!$B$2 + F402*Scoring_Weights!$B$3 + G402*Scoring_Weights!$B$4</f>
        <v>64.55</v>
      </c>
      <c r="M402" s="6" t="str">
        <f>IF(AND(H402&gt;=(VLOOKUP(J402,Interview_Slots!$A$2:$D$5,4,FALSE)/100), L402&gt;=VLOOKUP(J402,Interview_Slots!$A$2:$D$5,3,FALSE)), "Eligible", "Not Eligible")</f>
        <v>Not Eligible</v>
      </c>
    </row>
    <row r="403">
      <c r="A403" s="6" t="s">
        <v>836</v>
      </c>
      <c r="B403" s="6" t="s">
        <v>837</v>
      </c>
      <c r="C403" s="6" t="s">
        <v>59</v>
      </c>
      <c r="D403" s="7" t="str">
        <f>VLOOKUP(C403, Dept_Lookup!$A$2:$B$17, 2, FALSE)</f>
        <v>Civil</v>
      </c>
      <c r="E403" s="6">
        <v>91.0</v>
      </c>
      <c r="F403" s="6">
        <v>64.0</v>
      </c>
      <c r="G403" s="6">
        <v>79.0</v>
      </c>
      <c r="H403" s="8">
        <v>0.92</v>
      </c>
      <c r="I403" s="7">
        <v>45865.0</v>
      </c>
      <c r="J403" s="6" t="s">
        <v>32</v>
      </c>
      <c r="K403" s="8">
        <v>0.81</v>
      </c>
      <c r="L403" s="9">
        <f>E403*Scoring_Weights!$B$2 + F403*Scoring_Weights!$B$3 + G403*Scoring_Weights!$B$4</f>
        <v>75.55</v>
      </c>
      <c r="M403" s="6" t="str">
        <f>IF(AND(H403&gt;=(VLOOKUP(J403,Interview_Slots!$A$2:$D$5,4,FALSE)/100), L403&gt;=VLOOKUP(J403,Interview_Slots!$A$2:$D$5,3,FALSE)), "Eligible", "Not Eligible")</f>
        <v>Eligible</v>
      </c>
    </row>
    <row r="404">
      <c r="A404" s="6" t="s">
        <v>838</v>
      </c>
      <c r="B404" s="6" t="s">
        <v>839</v>
      </c>
      <c r="C404" s="6" t="s">
        <v>62</v>
      </c>
      <c r="D404" s="7" t="str">
        <f>VLOOKUP(C404, Dept_Lookup!$A$2:$B$17, 2, FALSE)</f>
        <v>Civil</v>
      </c>
      <c r="E404" s="6">
        <v>78.0</v>
      </c>
      <c r="F404" s="6">
        <v>99.0</v>
      </c>
      <c r="G404" s="6">
        <v>90.0</v>
      </c>
      <c r="H404" s="8">
        <v>0.95</v>
      </c>
      <c r="I404" s="7">
        <v>45845.0</v>
      </c>
      <c r="J404" s="6" t="s">
        <v>25</v>
      </c>
      <c r="K404" s="8">
        <v>0.76</v>
      </c>
      <c r="L404" s="9">
        <f>E404*Scoring_Weights!$B$2 + F404*Scoring_Weights!$B$3 + G404*Scoring_Weights!$B$4</f>
        <v>91.35</v>
      </c>
      <c r="M404" s="6" t="str">
        <f>IF(AND(H404&gt;=(VLOOKUP(J404,Interview_Slots!$A$2:$D$5,4,FALSE)/100), L404&gt;=VLOOKUP(J404,Interview_Slots!$A$2:$D$5,3,FALSE)), "Eligible", "Not Eligible")</f>
        <v>Eligible</v>
      </c>
    </row>
    <row r="405">
      <c r="A405" s="6" t="s">
        <v>840</v>
      </c>
      <c r="B405" s="6" t="s">
        <v>841</v>
      </c>
      <c r="C405" s="6" t="s">
        <v>16</v>
      </c>
      <c r="D405" s="7" t="str">
        <f>VLOOKUP(C405, Dept_Lookup!$A$2:$B$17, 2, FALSE)</f>
        <v>Computer Science</v>
      </c>
      <c r="E405" s="6">
        <v>93.0</v>
      </c>
      <c r="F405" s="6">
        <v>57.0</v>
      </c>
      <c r="G405" s="6">
        <v>74.0</v>
      </c>
      <c r="H405" s="8">
        <v>0.78</v>
      </c>
      <c r="I405" s="7">
        <v>45865.0</v>
      </c>
      <c r="J405" s="6" t="s">
        <v>17</v>
      </c>
      <c r="K405" s="8">
        <v>0.79</v>
      </c>
      <c r="L405" s="9">
        <f>E405*Scoring_Weights!$B$2 + F405*Scoring_Weights!$B$3 + G405*Scoring_Weights!$B$4</f>
        <v>70.9</v>
      </c>
      <c r="M405" s="6" t="str">
        <f>IF(AND(H405&gt;=(VLOOKUP(J405,Interview_Slots!$A$2:$D$5,4,FALSE)/100), L405&gt;=VLOOKUP(J405,Interview_Slots!$A$2:$D$5,3,FALSE)), "Eligible", "Not Eligible")</f>
        <v>Eligible</v>
      </c>
    </row>
    <row r="406">
      <c r="A406" s="6" t="s">
        <v>842</v>
      </c>
      <c r="B406" s="6" t="s">
        <v>843</v>
      </c>
      <c r="C406" s="6" t="s">
        <v>20</v>
      </c>
      <c r="D406" s="7" t="str">
        <f>VLOOKUP(C406, Dept_Lookup!$A$2:$B$17, 2, FALSE)</f>
        <v>Computer Science</v>
      </c>
      <c r="E406" s="6">
        <v>93.0</v>
      </c>
      <c r="F406" s="6">
        <v>65.0</v>
      </c>
      <c r="G406" s="6">
        <v>80.0</v>
      </c>
      <c r="H406" s="8">
        <v>0.79</v>
      </c>
      <c r="I406" s="7">
        <v>45913.0</v>
      </c>
      <c r="J406" s="6" t="s">
        <v>21</v>
      </c>
      <c r="K406" s="8">
        <v>0.96</v>
      </c>
      <c r="L406" s="9">
        <f>E406*Scoring_Weights!$B$2 + F406*Scoring_Weights!$B$3 + G406*Scoring_Weights!$B$4</f>
        <v>76.7</v>
      </c>
      <c r="M406" s="6" t="str">
        <f>IF(AND(H406&gt;=(VLOOKUP(J406,Interview_Slots!$A$2:$D$5,4,FALSE)/100), L406&gt;=VLOOKUP(J406,Interview_Slots!$A$2:$D$5,3,FALSE)), "Eligible", "Not Eligible")</f>
        <v>Not Eligible</v>
      </c>
    </row>
    <row r="407">
      <c r="A407" s="6" t="s">
        <v>844</v>
      </c>
      <c r="B407" s="6" t="s">
        <v>845</v>
      </c>
      <c r="C407" s="6" t="s">
        <v>24</v>
      </c>
      <c r="D407" s="7" t="str">
        <f>VLOOKUP(C407, Dept_Lookup!$A$2:$B$17, 2, FALSE)</f>
        <v>Computer Science</v>
      </c>
      <c r="E407" s="6">
        <v>98.0</v>
      </c>
      <c r="F407" s="6">
        <v>73.0</v>
      </c>
      <c r="G407" s="6">
        <v>70.0</v>
      </c>
      <c r="H407" s="8">
        <v>0.87</v>
      </c>
      <c r="I407" s="7">
        <v>45884.0</v>
      </c>
      <c r="J407" s="6" t="s">
        <v>17</v>
      </c>
      <c r="K407" s="8">
        <v>0.82</v>
      </c>
      <c r="L407" s="9">
        <f>E407*Scoring_Weights!$B$2 + F407*Scoring_Weights!$B$3 + G407*Scoring_Weights!$B$4</f>
        <v>75.25</v>
      </c>
      <c r="M407" s="6" t="str">
        <f>IF(AND(H407&gt;=(VLOOKUP(J407,Interview_Slots!$A$2:$D$5,4,FALSE)/100), L407&gt;=VLOOKUP(J407,Interview_Slots!$A$2:$D$5,3,FALSE)), "Eligible", "Not Eligible")</f>
        <v>Eligible</v>
      </c>
    </row>
    <row r="408">
      <c r="A408" s="6" t="s">
        <v>846</v>
      </c>
      <c r="B408" s="6" t="s">
        <v>847</v>
      </c>
      <c r="C408" s="6" t="s">
        <v>28</v>
      </c>
      <c r="D408" s="7" t="str">
        <f>VLOOKUP(C408, Dept_Lookup!$A$2:$B$17, 2, FALSE)</f>
        <v>Computer Science</v>
      </c>
      <c r="E408" s="6">
        <v>59.0</v>
      </c>
      <c r="F408" s="6">
        <v>60.0</v>
      </c>
      <c r="G408" s="6">
        <v>90.0</v>
      </c>
      <c r="H408" s="8">
        <v>0.83</v>
      </c>
      <c r="I408" s="7">
        <v>45878.0</v>
      </c>
      <c r="J408" s="6" t="s">
        <v>21</v>
      </c>
      <c r="K408" s="8">
        <v>0.73</v>
      </c>
      <c r="L408" s="9">
        <f>E408*Scoring_Weights!$B$2 + F408*Scoring_Weights!$B$3 + G408*Scoring_Weights!$B$4</f>
        <v>74.85</v>
      </c>
      <c r="M408" s="6" t="str">
        <f>IF(AND(H408&gt;=(VLOOKUP(J408,Interview_Slots!$A$2:$D$5,4,FALSE)/100), L408&gt;=VLOOKUP(J408,Interview_Slots!$A$2:$D$5,3,FALSE)), "Eligible", "Not Eligible")</f>
        <v>Eligible</v>
      </c>
    </row>
    <row r="409">
      <c r="A409" s="6" t="s">
        <v>848</v>
      </c>
      <c r="B409" s="6" t="s">
        <v>849</v>
      </c>
      <c r="C409" s="6" t="s">
        <v>31</v>
      </c>
      <c r="D409" s="7" t="str">
        <f>VLOOKUP(C409, Dept_Lookup!$A$2:$B$17, 2, FALSE)</f>
        <v>Electronics</v>
      </c>
      <c r="E409" s="6">
        <v>75.0</v>
      </c>
      <c r="F409" s="6">
        <v>55.0</v>
      </c>
      <c r="G409" s="6">
        <v>63.0</v>
      </c>
      <c r="H409" s="8">
        <v>0.87</v>
      </c>
      <c r="I409" s="7">
        <v>45878.0</v>
      </c>
      <c r="J409" s="6" t="s">
        <v>25</v>
      </c>
      <c r="K409" s="8">
        <v>0.9</v>
      </c>
      <c r="L409" s="9">
        <f>E409*Scoring_Weights!$B$2 + F409*Scoring_Weights!$B$3 + G409*Scoring_Weights!$B$4</f>
        <v>62</v>
      </c>
      <c r="M409" s="6" t="str">
        <f>IF(AND(H409&gt;=(VLOOKUP(J409,Interview_Slots!$A$2:$D$5,4,FALSE)/100), L409&gt;=VLOOKUP(J409,Interview_Slots!$A$2:$D$5,3,FALSE)), "Eligible", "Not Eligible")</f>
        <v>Not Eligible</v>
      </c>
    </row>
    <row r="410">
      <c r="A410" s="6" t="s">
        <v>850</v>
      </c>
      <c r="B410" s="6" t="s">
        <v>851</v>
      </c>
      <c r="C410" s="6" t="s">
        <v>35</v>
      </c>
      <c r="D410" s="7" t="str">
        <f>VLOOKUP(C410, Dept_Lookup!$A$2:$B$17, 2, FALSE)</f>
        <v>Electronics</v>
      </c>
      <c r="E410" s="6">
        <v>60.0</v>
      </c>
      <c r="F410" s="6">
        <v>84.0</v>
      </c>
      <c r="G410" s="6">
        <v>90.0</v>
      </c>
      <c r="H410" s="8">
        <v>0.94</v>
      </c>
      <c r="I410" s="7">
        <v>45929.0</v>
      </c>
      <c r="J410" s="6" t="s">
        <v>25</v>
      </c>
      <c r="K410" s="8">
        <v>0.79</v>
      </c>
      <c r="L410" s="9">
        <f>E410*Scoring_Weights!$B$2 + F410*Scoring_Weights!$B$3 + G410*Scoring_Weights!$B$4</f>
        <v>83.4</v>
      </c>
      <c r="M410" s="6" t="str">
        <f>IF(AND(H410&gt;=(VLOOKUP(J410,Interview_Slots!$A$2:$D$5,4,FALSE)/100), L410&gt;=VLOOKUP(J410,Interview_Slots!$A$2:$D$5,3,FALSE)), "Eligible", "Not Eligible")</f>
        <v>Eligible</v>
      </c>
    </row>
    <row r="411">
      <c r="A411" s="6" t="s">
        <v>852</v>
      </c>
      <c r="B411" s="6" t="s">
        <v>853</v>
      </c>
      <c r="C411" s="6" t="s">
        <v>38</v>
      </c>
      <c r="D411" s="7" t="str">
        <f>VLOOKUP(C411, Dept_Lookup!$A$2:$B$17, 2, FALSE)</f>
        <v>Electronics</v>
      </c>
      <c r="E411" s="6">
        <v>55.0</v>
      </c>
      <c r="F411" s="6">
        <v>94.0</v>
      </c>
      <c r="G411" s="6">
        <v>57.0</v>
      </c>
      <c r="H411" s="8">
        <v>0.87</v>
      </c>
      <c r="I411" s="7">
        <v>45913.0</v>
      </c>
      <c r="J411" s="6" t="s">
        <v>25</v>
      </c>
      <c r="K411" s="8">
        <v>0.75</v>
      </c>
      <c r="L411" s="9">
        <f>E411*Scoring_Weights!$B$2 + F411*Scoring_Weights!$B$3 + G411*Scoring_Weights!$B$4</f>
        <v>69.65</v>
      </c>
      <c r="M411" s="6" t="str">
        <f>IF(AND(H411&gt;=(VLOOKUP(J411,Interview_Slots!$A$2:$D$5,4,FALSE)/100), L411&gt;=VLOOKUP(J411,Interview_Slots!$A$2:$D$5,3,FALSE)), "Eligible", "Not Eligible")</f>
        <v>Not Eligible</v>
      </c>
    </row>
    <row r="412">
      <c r="A412" s="6" t="s">
        <v>854</v>
      </c>
      <c r="B412" s="6" t="s">
        <v>855</v>
      </c>
      <c r="C412" s="6" t="s">
        <v>41</v>
      </c>
      <c r="D412" s="7" t="str">
        <f>VLOOKUP(C412, Dept_Lookup!$A$2:$B$17, 2, FALSE)</f>
        <v>Electronics</v>
      </c>
      <c r="E412" s="6">
        <v>78.0</v>
      </c>
      <c r="F412" s="6">
        <v>56.0</v>
      </c>
      <c r="G412" s="6">
        <v>73.0</v>
      </c>
      <c r="H412" s="8">
        <v>0.92</v>
      </c>
      <c r="I412" s="7">
        <v>45865.0</v>
      </c>
      <c r="J412" s="6" t="s">
        <v>17</v>
      </c>
      <c r="K412" s="8">
        <v>0.96</v>
      </c>
      <c r="L412" s="9">
        <f>E412*Scoring_Weights!$B$2 + F412*Scoring_Weights!$B$3 + G412*Scoring_Weights!$B$4</f>
        <v>67.8</v>
      </c>
      <c r="M412" s="6" t="str">
        <f>IF(AND(H412&gt;=(VLOOKUP(J412,Interview_Slots!$A$2:$D$5,4,FALSE)/100), L412&gt;=VLOOKUP(J412,Interview_Slots!$A$2:$D$5,3,FALSE)), "Eligible", "Not Eligible")</f>
        <v>Eligible</v>
      </c>
    </row>
    <row r="413">
      <c r="A413" s="6" t="s">
        <v>856</v>
      </c>
      <c r="B413" s="6" t="s">
        <v>857</v>
      </c>
      <c r="C413" s="6" t="s">
        <v>44</v>
      </c>
      <c r="D413" s="7" t="str">
        <f>VLOOKUP(C413, Dept_Lookup!$A$2:$B$17, 2, FALSE)</f>
        <v>Mechanical</v>
      </c>
      <c r="E413" s="6">
        <v>73.0</v>
      </c>
      <c r="F413" s="6">
        <v>79.0</v>
      </c>
      <c r="G413" s="6">
        <v>87.0</v>
      </c>
      <c r="H413" s="8">
        <v>0.91</v>
      </c>
      <c r="I413" s="7">
        <v>45900.0</v>
      </c>
      <c r="J413" s="6" t="s">
        <v>32</v>
      </c>
      <c r="K413" s="8">
        <v>0.89</v>
      </c>
      <c r="L413" s="9">
        <f>E413*Scoring_Weights!$B$2 + F413*Scoring_Weights!$B$3 + G413*Scoring_Weights!$B$4</f>
        <v>82.1</v>
      </c>
      <c r="M413" s="6" t="str">
        <f>IF(AND(H413&gt;=(VLOOKUP(J413,Interview_Slots!$A$2:$D$5,4,FALSE)/100), L413&gt;=VLOOKUP(J413,Interview_Slots!$A$2:$D$5,3,FALSE)), "Eligible", "Not Eligible")</f>
        <v>Eligible</v>
      </c>
    </row>
    <row r="414">
      <c r="A414" s="6" t="s">
        <v>858</v>
      </c>
      <c r="B414" s="6" t="s">
        <v>859</v>
      </c>
      <c r="C414" s="6" t="s">
        <v>47</v>
      </c>
      <c r="D414" s="7" t="str">
        <f>VLOOKUP(C414, Dept_Lookup!$A$2:$B$17, 2, FALSE)</f>
        <v>Mechanical</v>
      </c>
      <c r="E414" s="6">
        <v>98.0</v>
      </c>
      <c r="F414" s="6">
        <v>92.0</v>
      </c>
      <c r="G414" s="6">
        <v>96.0</v>
      </c>
      <c r="H414" s="8">
        <v>0.77</v>
      </c>
      <c r="I414" s="7">
        <v>45874.0</v>
      </c>
      <c r="J414" s="6" t="s">
        <v>17</v>
      </c>
      <c r="K414" s="8">
        <v>0.75</v>
      </c>
      <c r="L414" s="9">
        <f>E414*Scoring_Weights!$B$2 + F414*Scoring_Weights!$B$3 + G414*Scoring_Weights!$B$4</f>
        <v>94.9</v>
      </c>
      <c r="M414" s="6" t="str">
        <f>IF(AND(H414&gt;=(VLOOKUP(J414,Interview_Slots!$A$2:$D$5,4,FALSE)/100), L414&gt;=VLOOKUP(J414,Interview_Slots!$A$2:$D$5,3,FALSE)), "Eligible", "Not Eligible")</f>
        <v>Eligible</v>
      </c>
    </row>
    <row r="415">
      <c r="A415" s="6" t="s">
        <v>860</v>
      </c>
      <c r="B415" s="6" t="s">
        <v>861</v>
      </c>
      <c r="C415" s="6" t="s">
        <v>50</v>
      </c>
      <c r="D415" s="7" t="str">
        <f>VLOOKUP(C415, Dept_Lookup!$A$2:$B$17, 2, FALSE)</f>
        <v>Mechanical</v>
      </c>
      <c r="E415" s="6">
        <v>95.0</v>
      </c>
      <c r="F415" s="6">
        <v>78.0</v>
      </c>
      <c r="G415" s="6">
        <v>94.0</v>
      </c>
      <c r="H415" s="8">
        <v>0.76</v>
      </c>
      <c r="I415" s="7">
        <v>45865.0</v>
      </c>
      <c r="J415" s="6" t="s">
        <v>21</v>
      </c>
      <c r="K415" s="8">
        <v>0.84</v>
      </c>
      <c r="L415" s="9">
        <f>E415*Scoring_Weights!$B$2 + F415*Scoring_Weights!$B$3 + G415*Scoring_Weights!$B$4</f>
        <v>88.55</v>
      </c>
      <c r="M415" s="6" t="str">
        <f>IF(AND(H415&gt;=(VLOOKUP(J415,Interview_Slots!$A$2:$D$5,4,FALSE)/100), L415&gt;=VLOOKUP(J415,Interview_Slots!$A$2:$D$5,3,FALSE)), "Eligible", "Not Eligible")</f>
        <v>Not Eligible</v>
      </c>
    </row>
    <row r="416">
      <c r="A416" s="6" t="s">
        <v>862</v>
      </c>
      <c r="B416" s="6" t="s">
        <v>863</v>
      </c>
      <c r="C416" s="6" t="s">
        <v>53</v>
      </c>
      <c r="D416" s="7" t="str">
        <f>VLOOKUP(C416, Dept_Lookup!$A$2:$B$17, 2, FALSE)</f>
        <v>Mechanical</v>
      </c>
      <c r="E416" s="6">
        <v>78.0</v>
      </c>
      <c r="F416" s="6">
        <v>92.0</v>
      </c>
      <c r="G416" s="6">
        <v>64.0</v>
      </c>
      <c r="H416" s="8">
        <v>0.93</v>
      </c>
      <c r="I416" s="7">
        <v>45913.0</v>
      </c>
      <c r="J416" s="6" t="s">
        <v>32</v>
      </c>
      <c r="K416" s="8">
        <v>0.95</v>
      </c>
      <c r="L416" s="9">
        <f>E416*Scoring_Weights!$B$2 + F416*Scoring_Weights!$B$3 + G416*Scoring_Weights!$B$4</f>
        <v>75.9</v>
      </c>
      <c r="M416" s="6" t="str">
        <f>IF(AND(H416&gt;=(VLOOKUP(J416,Interview_Slots!$A$2:$D$5,4,FALSE)/100), L416&gt;=VLOOKUP(J416,Interview_Slots!$A$2:$D$5,3,FALSE)), "Eligible", "Not Eligible")</f>
        <v>Eligible</v>
      </c>
    </row>
    <row r="417">
      <c r="A417" s="6" t="s">
        <v>864</v>
      </c>
      <c r="B417" s="6" t="s">
        <v>865</v>
      </c>
      <c r="C417" s="6" t="s">
        <v>56</v>
      </c>
      <c r="D417" s="7" t="str">
        <f>VLOOKUP(C417, Dept_Lookup!$A$2:$B$17, 2, FALSE)</f>
        <v>Civil</v>
      </c>
      <c r="E417" s="6">
        <v>64.0</v>
      </c>
      <c r="F417" s="6">
        <v>86.0</v>
      </c>
      <c r="G417" s="6">
        <v>66.0</v>
      </c>
      <c r="H417" s="8">
        <v>0.78</v>
      </c>
      <c r="I417" s="7">
        <v>45887.0</v>
      </c>
      <c r="J417" s="6" t="s">
        <v>32</v>
      </c>
      <c r="K417" s="8">
        <v>0.8</v>
      </c>
      <c r="L417" s="9">
        <f>E417*Scoring_Weights!$B$2 + F417*Scoring_Weights!$B$3 + G417*Scoring_Weights!$B$4</f>
        <v>72.7</v>
      </c>
      <c r="M417" s="6" t="str">
        <f>IF(AND(H417&gt;=(VLOOKUP(J417,Interview_Slots!$A$2:$D$5,4,FALSE)/100), L417&gt;=VLOOKUP(J417,Interview_Slots!$A$2:$D$5,3,FALSE)), "Eligible", "Not Eligible")</f>
        <v>Eligible</v>
      </c>
    </row>
    <row r="418">
      <c r="A418" s="6" t="s">
        <v>866</v>
      </c>
      <c r="B418" s="6" t="s">
        <v>867</v>
      </c>
      <c r="C418" s="6" t="s">
        <v>59</v>
      </c>
      <c r="D418" s="7" t="str">
        <f>VLOOKUP(C418, Dept_Lookup!$A$2:$B$17, 2, FALSE)</f>
        <v>Civil</v>
      </c>
      <c r="E418" s="6">
        <v>90.0</v>
      </c>
      <c r="F418" s="6">
        <v>63.0</v>
      </c>
      <c r="G418" s="6">
        <v>94.0</v>
      </c>
      <c r="H418" s="8">
        <v>0.92</v>
      </c>
      <c r="I418" s="7">
        <v>45887.0</v>
      </c>
      <c r="J418" s="6" t="s">
        <v>17</v>
      </c>
      <c r="K418" s="8">
        <v>0.99</v>
      </c>
      <c r="L418" s="9">
        <f>E418*Scoring_Weights!$B$2 + F418*Scoring_Weights!$B$3 + G418*Scoring_Weights!$B$4</f>
        <v>82.55</v>
      </c>
      <c r="M418" s="6" t="str">
        <f>IF(AND(H418&gt;=(VLOOKUP(J418,Interview_Slots!$A$2:$D$5,4,FALSE)/100), L418&gt;=VLOOKUP(J418,Interview_Slots!$A$2:$D$5,3,FALSE)), "Eligible", "Not Eligible")</f>
        <v>Eligible</v>
      </c>
    </row>
    <row r="419">
      <c r="A419" s="6" t="s">
        <v>868</v>
      </c>
      <c r="B419" s="6" t="s">
        <v>869</v>
      </c>
      <c r="C419" s="6" t="s">
        <v>62</v>
      </c>
      <c r="D419" s="7" t="str">
        <f>VLOOKUP(C419, Dept_Lookup!$A$2:$B$17, 2, FALSE)</f>
        <v>Civil</v>
      </c>
      <c r="E419" s="6">
        <v>94.0</v>
      </c>
      <c r="F419" s="6">
        <v>74.0</v>
      </c>
      <c r="G419" s="6">
        <v>83.0</v>
      </c>
      <c r="H419" s="8">
        <v>0.8</v>
      </c>
      <c r="I419" s="7">
        <v>45865.0</v>
      </c>
      <c r="J419" s="6" t="s">
        <v>21</v>
      </c>
      <c r="K419" s="8">
        <v>1.0</v>
      </c>
      <c r="L419" s="9">
        <f>E419*Scoring_Weights!$B$2 + F419*Scoring_Weights!$B$3 + G419*Scoring_Weights!$B$4</f>
        <v>81.5</v>
      </c>
      <c r="M419" s="6" t="str">
        <f>IF(AND(H419&gt;=(VLOOKUP(J419,Interview_Slots!$A$2:$D$5,4,FALSE)/100), L419&gt;=VLOOKUP(J419,Interview_Slots!$A$2:$D$5,3,FALSE)), "Eligible", "Not Eligible")</f>
        <v>Eligible</v>
      </c>
    </row>
    <row r="420">
      <c r="A420" s="6" t="s">
        <v>870</v>
      </c>
      <c r="B420" s="6" t="s">
        <v>871</v>
      </c>
      <c r="C420" s="6" t="s">
        <v>65</v>
      </c>
      <c r="D420" s="7" t="str">
        <f>VLOOKUP(C420, Dept_Lookup!$A$2:$B$17, 2, FALSE)</f>
        <v>Civil</v>
      </c>
      <c r="E420" s="6">
        <v>83.0</v>
      </c>
      <c r="F420" s="6">
        <v>77.0</v>
      </c>
      <c r="G420" s="6">
        <v>87.0</v>
      </c>
      <c r="H420" s="8">
        <v>0.91</v>
      </c>
      <c r="I420" s="7">
        <v>45874.0</v>
      </c>
      <c r="J420" s="6" t="s">
        <v>32</v>
      </c>
      <c r="K420" s="8">
        <v>0.8</v>
      </c>
      <c r="L420" s="9">
        <f>E420*Scoring_Weights!$B$2 + F420*Scoring_Weights!$B$3 + G420*Scoring_Weights!$B$4</f>
        <v>82.9</v>
      </c>
      <c r="M420" s="6" t="str">
        <f>IF(AND(H420&gt;=(VLOOKUP(J420,Interview_Slots!$A$2:$D$5,4,FALSE)/100), L420&gt;=VLOOKUP(J420,Interview_Slots!$A$2:$D$5,3,FALSE)), "Eligible", "Not Eligible")</f>
        <v>Eligible</v>
      </c>
    </row>
    <row r="421">
      <c r="A421" s="6" t="s">
        <v>872</v>
      </c>
      <c r="B421" s="6" t="s">
        <v>873</v>
      </c>
      <c r="C421" s="6" t="s">
        <v>16</v>
      </c>
      <c r="D421" s="7" t="str">
        <f>VLOOKUP(C421, Dept_Lookup!$A$2:$B$17, 2, FALSE)</f>
        <v>Computer Science</v>
      </c>
      <c r="E421" s="6">
        <v>92.0</v>
      </c>
      <c r="F421" s="6">
        <v>82.0</v>
      </c>
      <c r="G421" s="6">
        <v>73.0</v>
      </c>
      <c r="H421" s="8">
        <v>0.79</v>
      </c>
      <c r="I421" s="7">
        <v>45893.0</v>
      </c>
      <c r="J421" s="6" t="s">
        <v>21</v>
      </c>
      <c r="K421" s="8">
        <v>0.77</v>
      </c>
      <c r="L421" s="9">
        <f>E421*Scoring_Weights!$B$2 + F421*Scoring_Weights!$B$3 + G421*Scoring_Weights!$B$4</f>
        <v>79</v>
      </c>
      <c r="M421" s="6" t="str">
        <f>IF(AND(H421&gt;=(VLOOKUP(J421,Interview_Slots!$A$2:$D$5,4,FALSE)/100), L421&gt;=VLOOKUP(J421,Interview_Slots!$A$2:$D$5,3,FALSE)), "Eligible", "Not Eligible")</f>
        <v>Not Eligible</v>
      </c>
    </row>
    <row r="422">
      <c r="A422" s="6" t="s">
        <v>874</v>
      </c>
      <c r="B422" s="6" t="s">
        <v>875</v>
      </c>
      <c r="C422" s="6" t="s">
        <v>20</v>
      </c>
      <c r="D422" s="7" t="str">
        <f>VLOOKUP(C422, Dept_Lookup!$A$2:$B$17, 2, FALSE)</f>
        <v>Computer Science</v>
      </c>
      <c r="E422" s="6">
        <v>68.0</v>
      </c>
      <c r="F422" s="6">
        <v>72.0</v>
      </c>
      <c r="G422" s="6">
        <v>86.0</v>
      </c>
      <c r="H422" s="8">
        <v>0.83</v>
      </c>
      <c r="I422" s="7">
        <v>45913.0</v>
      </c>
      <c r="J422" s="6" t="s">
        <v>25</v>
      </c>
      <c r="K422" s="8">
        <v>0.89</v>
      </c>
      <c r="L422" s="9">
        <f>E422*Scoring_Weights!$B$2 + F422*Scoring_Weights!$B$3 + G422*Scoring_Weights!$B$4</f>
        <v>78.4</v>
      </c>
      <c r="M422" s="6" t="str">
        <f>IF(AND(H422&gt;=(VLOOKUP(J422,Interview_Slots!$A$2:$D$5,4,FALSE)/100), L422&gt;=VLOOKUP(J422,Interview_Slots!$A$2:$D$5,3,FALSE)), "Eligible", "Not Eligible")</f>
        <v>Not Eligible</v>
      </c>
    </row>
    <row r="423">
      <c r="A423" s="6" t="s">
        <v>876</v>
      </c>
      <c r="B423" s="6" t="s">
        <v>877</v>
      </c>
      <c r="C423" s="6" t="s">
        <v>24</v>
      </c>
      <c r="D423" s="7" t="str">
        <f>VLOOKUP(C423, Dept_Lookup!$A$2:$B$17, 2, FALSE)</f>
        <v>Computer Science</v>
      </c>
      <c r="E423" s="6">
        <v>63.0</v>
      </c>
      <c r="F423" s="6">
        <v>87.0</v>
      </c>
      <c r="G423" s="6">
        <v>82.0</v>
      </c>
      <c r="H423" s="8">
        <v>0.8</v>
      </c>
      <c r="I423" s="7">
        <v>45878.0</v>
      </c>
      <c r="J423" s="6" t="s">
        <v>25</v>
      </c>
      <c r="K423" s="8">
        <v>0.91</v>
      </c>
      <c r="L423" s="9">
        <f>E423*Scoring_Weights!$B$2 + F423*Scoring_Weights!$B$3 + G423*Scoring_Weights!$B$4</f>
        <v>80.9</v>
      </c>
      <c r="M423" s="6" t="str">
        <f>IF(AND(H423&gt;=(VLOOKUP(J423,Interview_Slots!$A$2:$D$5,4,FALSE)/100), L423&gt;=VLOOKUP(J423,Interview_Slots!$A$2:$D$5,3,FALSE)), "Eligible", "Not Eligible")</f>
        <v>Not Eligible</v>
      </c>
    </row>
    <row r="424">
      <c r="A424" s="6" t="s">
        <v>878</v>
      </c>
      <c r="B424" s="6" t="s">
        <v>879</v>
      </c>
      <c r="C424" s="6" t="s">
        <v>28</v>
      </c>
      <c r="D424" s="7" t="str">
        <f>VLOOKUP(C424, Dept_Lookup!$A$2:$B$17, 2, FALSE)</f>
        <v>Computer Science</v>
      </c>
      <c r="E424" s="6">
        <v>98.0</v>
      </c>
      <c r="F424" s="6">
        <v>71.0</v>
      </c>
      <c r="G424" s="6">
        <v>56.0</v>
      </c>
      <c r="H424" s="8">
        <v>0.76</v>
      </c>
      <c r="I424" s="7">
        <v>45867.0</v>
      </c>
      <c r="J424" s="6" t="s">
        <v>21</v>
      </c>
      <c r="K424" s="8">
        <v>0.82</v>
      </c>
      <c r="L424" s="9">
        <f>E424*Scoring_Weights!$B$2 + F424*Scoring_Weights!$B$3 + G424*Scoring_Weights!$B$4</f>
        <v>67.55</v>
      </c>
      <c r="M424" s="6" t="str">
        <f>IF(AND(H424&gt;=(VLOOKUP(J424,Interview_Slots!$A$2:$D$5,4,FALSE)/100), L424&gt;=VLOOKUP(J424,Interview_Slots!$A$2:$D$5,3,FALSE)), "Eligible", "Not Eligible")</f>
        <v>Not Eligible</v>
      </c>
    </row>
    <row r="425">
      <c r="A425" s="6" t="s">
        <v>880</v>
      </c>
      <c r="B425" s="6" t="s">
        <v>881</v>
      </c>
      <c r="C425" s="6" t="s">
        <v>31</v>
      </c>
      <c r="D425" s="7" t="str">
        <f>VLOOKUP(C425, Dept_Lookup!$A$2:$B$17, 2, FALSE)</f>
        <v>Electronics</v>
      </c>
      <c r="E425" s="6">
        <v>63.0</v>
      </c>
      <c r="F425" s="6">
        <v>82.0</v>
      </c>
      <c r="G425" s="6">
        <v>97.0</v>
      </c>
      <c r="H425" s="8">
        <v>0.78</v>
      </c>
      <c r="I425" s="7">
        <v>45929.0</v>
      </c>
      <c r="J425" s="6" t="s">
        <v>17</v>
      </c>
      <c r="K425" s="8">
        <v>0.79</v>
      </c>
      <c r="L425" s="9">
        <f>E425*Scoring_Weights!$B$2 + F425*Scoring_Weights!$B$3 + G425*Scoring_Weights!$B$4</f>
        <v>86.65</v>
      </c>
      <c r="M425" s="6" t="str">
        <f>IF(AND(H425&gt;=(VLOOKUP(J425,Interview_Slots!$A$2:$D$5,4,FALSE)/100), L425&gt;=VLOOKUP(J425,Interview_Slots!$A$2:$D$5,3,FALSE)), "Eligible", "Not Eligible")</f>
        <v>Eligible</v>
      </c>
    </row>
    <row r="426">
      <c r="A426" s="6" t="s">
        <v>882</v>
      </c>
      <c r="B426" s="6" t="s">
        <v>883</v>
      </c>
      <c r="C426" s="6" t="s">
        <v>35</v>
      </c>
      <c r="D426" s="7" t="str">
        <f>VLOOKUP(C426, Dept_Lookup!$A$2:$B$17, 2, FALSE)</f>
        <v>Electronics</v>
      </c>
      <c r="E426" s="6">
        <v>66.0</v>
      </c>
      <c r="F426" s="6">
        <v>78.0</v>
      </c>
      <c r="G426" s="6">
        <v>95.0</v>
      </c>
      <c r="H426" s="8">
        <v>0.87</v>
      </c>
      <c r="I426" s="7">
        <v>45893.0</v>
      </c>
      <c r="J426" s="6" t="s">
        <v>32</v>
      </c>
      <c r="K426" s="8">
        <v>0.94</v>
      </c>
      <c r="L426" s="9">
        <f>E426*Scoring_Weights!$B$2 + F426*Scoring_Weights!$B$3 + G426*Scoring_Weights!$B$4</f>
        <v>84.7</v>
      </c>
      <c r="M426" s="6" t="str">
        <f>IF(AND(H426&gt;=(VLOOKUP(J426,Interview_Slots!$A$2:$D$5,4,FALSE)/100), L426&gt;=VLOOKUP(J426,Interview_Slots!$A$2:$D$5,3,FALSE)), "Eligible", "Not Eligible")</f>
        <v>Eligible</v>
      </c>
    </row>
    <row r="427">
      <c r="A427" s="6" t="s">
        <v>884</v>
      </c>
      <c r="B427" s="6" t="s">
        <v>885</v>
      </c>
      <c r="C427" s="6" t="s">
        <v>38</v>
      </c>
      <c r="D427" s="7" t="str">
        <f>VLOOKUP(C427, Dept_Lookup!$A$2:$B$17, 2, FALSE)</f>
        <v>Electronics</v>
      </c>
      <c r="E427" s="6">
        <v>60.0</v>
      </c>
      <c r="F427" s="6">
        <v>82.0</v>
      </c>
      <c r="G427" s="6">
        <v>60.0</v>
      </c>
      <c r="H427" s="8">
        <v>0.86</v>
      </c>
      <c r="I427" s="7">
        <v>45887.0</v>
      </c>
      <c r="J427" s="6" t="s">
        <v>17</v>
      </c>
      <c r="K427" s="8">
        <v>0.86</v>
      </c>
      <c r="L427" s="9">
        <f>E427*Scoring_Weights!$B$2 + F427*Scoring_Weights!$B$3 + G427*Scoring_Weights!$B$4</f>
        <v>67.7</v>
      </c>
      <c r="M427" s="6" t="str">
        <f>IF(AND(H427&gt;=(VLOOKUP(J427,Interview_Slots!$A$2:$D$5,4,FALSE)/100), L427&gt;=VLOOKUP(J427,Interview_Slots!$A$2:$D$5,3,FALSE)), "Eligible", "Not Eligible")</f>
        <v>Eligible</v>
      </c>
    </row>
    <row r="428">
      <c r="A428" s="6" t="s">
        <v>886</v>
      </c>
      <c r="B428" s="6" t="s">
        <v>887</v>
      </c>
      <c r="C428" s="6" t="s">
        <v>41</v>
      </c>
      <c r="D428" s="7" t="str">
        <f>VLOOKUP(C428, Dept_Lookup!$A$2:$B$17, 2, FALSE)</f>
        <v>Electronics</v>
      </c>
      <c r="E428" s="6">
        <v>62.0</v>
      </c>
      <c r="F428" s="6">
        <v>71.0</v>
      </c>
      <c r="G428" s="6">
        <v>69.0</v>
      </c>
      <c r="H428" s="8">
        <v>0.83</v>
      </c>
      <c r="I428" s="7">
        <v>45880.0</v>
      </c>
      <c r="J428" s="6" t="s">
        <v>21</v>
      </c>
      <c r="K428" s="8">
        <v>0.73</v>
      </c>
      <c r="L428" s="9">
        <f>E428*Scoring_Weights!$B$2 + F428*Scoring_Weights!$B$3 + G428*Scoring_Weights!$B$4</f>
        <v>68.65</v>
      </c>
      <c r="M428" s="6" t="str">
        <f>IF(AND(H428&gt;=(VLOOKUP(J428,Interview_Slots!$A$2:$D$5,4,FALSE)/100), L428&gt;=VLOOKUP(J428,Interview_Slots!$A$2:$D$5,3,FALSE)), "Eligible", "Not Eligible")</f>
        <v>Not Eligible</v>
      </c>
    </row>
    <row r="429">
      <c r="A429" s="6" t="s">
        <v>888</v>
      </c>
      <c r="B429" s="6" t="s">
        <v>889</v>
      </c>
      <c r="C429" s="6" t="s">
        <v>44</v>
      </c>
      <c r="D429" s="7" t="str">
        <f>VLOOKUP(C429, Dept_Lookup!$A$2:$B$17, 2, FALSE)</f>
        <v>Mechanical</v>
      </c>
      <c r="E429" s="6">
        <v>92.0</v>
      </c>
      <c r="F429" s="6">
        <v>57.0</v>
      </c>
      <c r="G429" s="6">
        <v>82.0</v>
      </c>
      <c r="H429" s="8">
        <v>0.91</v>
      </c>
      <c r="I429" s="7">
        <v>45900.0</v>
      </c>
      <c r="J429" s="6" t="s">
        <v>32</v>
      </c>
      <c r="K429" s="8">
        <v>0.99</v>
      </c>
      <c r="L429" s="9">
        <f>E429*Scoring_Weights!$B$2 + F429*Scoring_Weights!$B$3 + G429*Scoring_Weights!$B$4</f>
        <v>74.75</v>
      </c>
      <c r="M429" s="6" t="str">
        <f>IF(AND(H429&gt;=(VLOOKUP(J429,Interview_Slots!$A$2:$D$5,4,FALSE)/100), L429&gt;=VLOOKUP(J429,Interview_Slots!$A$2:$D$5,3,FALSE)), "Eligible", "Not Eligible")</f>
        <v>Eligible</v>
      </c>
    </row>
    <row r="430">
      <c r="A430" s="6" t="s">
        <v>890</v>
      </c>
      <c r="B430" s="6" t="s">
        <v>891</v>
      </c>
      <c r="C430" s="6" t="s">
        <v>47</v>
      </c>
      <c r="D430" s="7" t="str">
        <f>VLOOKUP(C430, Dept_Lookup!$A$2:$B$17, 2, FALSE)</f>
        <v>Mechanical</v>
      </c>
      <c r="E430" s="6">
        <v>98.0</v>
      </c>
      <c r="F430" s="6">
        <v>56.0</v>
      </c>
      <c r="G430" s="6">
        <v>77.0</v>
      </c>
      <c r="H430" s="8">
        <v>0.85</v>
      </c>
      <c r="I430" s="7">
        <v>45820.0</v>
      </c>
      <c r="J430" s="6" t="s">
        <v>32</v>
      </c>
      <c r="K430" s="8">
        <v>0.77</v>
      </c>
      <c r="L430" s="9">
        <f>E430*Scoring_Weights!$B$2 + F430*Scoring_Weights!$B$3 + G430*Scoring_Weights!$B$4</f>
        <v>72.8</v>
      </c>
      <c r="M430" s="6" t="str">
        <f>IF(AND(H430&gt;=(VLOOKUP(J430,Interview_Slots!$A$2:$D$5,4,FALSE)/100), L430&gt;=VLOOKUP(J430,Interview_Slots!$A$2:$D$5,3,FALSE)), "Eligible", "Not Eligible")</f>
        <v>Eligible</v>
      </c>
    </row>
    <row r="431">
      <c r="A431" s="6" t="s">
        <v>892</v>
      </c>
      <c r="B431" s="6" t="s">
        <v>893</v>
      </c>
      <c r="C431" s="6" t="s">
        <v>50</v>
      </c>
      <c r="D431" s="7" t="str">
        <f>VLOOKUP(C431, Dept_Lookup!$A$2:$B$17, 2, FALSE)</f>
        <v>Mechanical</v>
      </c>
      <c r="E431" s="6">
        <v>63.0</v>
      </c>
      <c r="F431" s="6">
        <v>71.0</v>
      </c>
      <c r="G431" s="6">
        <v>56.0</v>
      </c>
      <c r="H431" s="8">
        <v>0.88</v>
      </c>
      <c r="I431" s="7">
        <v>45900.0</v>
      </c>
      <c r="J431" s="6" t="s">
        <v>17</v>
      </c>
      <c r="K431" s="8">
        <v>0.73</v>
      </c>
      <c r="L431" s="9">
        <f>E431*Scoring_Weights!$B$2 + F431*Scoring_Weights!$B$3 + G431*Scoring_Weights!$B$4</f>
        <v>62.3</v>
      </c>
      <c r="M431" s="6" t="str">
        <f>IF(AND(H431&gt;=(VLOOKUP(J431,Interview_Slots!$A$2:$D$5,4,FALSE)/100), L431&gt;=VLOOKUP(J431,Interview_Slots!$A$2:$D$5,3,FALSE)), "Eligible", "Not Eligible")</f>
        <v>Eligible</v>
      </c>
    </row>
    <row r="432">
      <c r="A432" s="6" t="s">
        <v>894</v>
      </c>
      <c r="B432" s="6" t="s">
        <v>895</v>
      </c>
      <c r="C432" s="6" t="s">
        <v>53</v>
      </c>
      <c r="D432" s="7" t="str">
        <f>VLOOKUP(C432, Dept_Lookup!$A$2:$B$17, 2, FALSE)</f>
        <v>Mechanical</v>
      </c>
      <c r="E432" s="6">
        <v>73.0</v>
      </c>
      <c r="F432" s="6">
        <v>89.0</v>
      </c>
      <c r="G432" s="6">
        <v>63.0</v>
      </c>
      <c r="H432" s="8">
        <v>0.75</v>
      </c>
      <c r="I432" s="7">
        <v>45900.0</v>
      </c>
      <c r="J432" s="6" t="s">
        <v>21</v>
      </c>
      <c r="K432" s="8">
        <v>0.85</v>
      </c>
      <c r="L432" s="9">
        <f>E432*Scoring_Weights!$B$2 + F432*Scoring_Weights!$B$3 + G432*Scoring_Weights!$B$4</f>
        <v>73.6</v>
      </c>
      <c r="M432" s="6" t="str">
        <f>IF(AND(H432&gt;=(VLOOKUP(J432,Interview_Slots!$A$2:$D$5,4,FALSE)/100), L432&gt;=VLOOKUP(J432,Interview_Slots!$A$2:$D$5,3,FALSE)), "Eligible", "Not Eligible")</f>
        <v>Not Eligible</v>
      </c>
    </row>
    <row r="433">
      <c r="A433" s="6" t="s">
        <v>896</v>
      </c>
      <c r="B433" s="6" t="s">
        <v>897</v>
      </c>
      <c r="C433" s="6" t="s">
        <v>56</v>
      </c>
      <c r="D433" s="7" t="str">
        <f>VLOOKUP(C433, Dept_Lookup!$A$2:$B$17, 2, FALSE)</f>
        <v>Civil</v>
      </c>
      <c r="E433" s="6">
        <v>88.0</v>
      </c>
      <c r="F433" s="6">
        <v>62.0</v>
      </c>
      <c r="G433" s="6">
        <v>91.0</v>
      </c>
      <c r="H433" s="8">
        <v>0.89</v>
      </c>
      <c r="I433" s="7">
        <v>45919.0</v>
      </c>
      <c r="J433" s="6" t="s">
        <v>21</v>
      </c>
      <c r="K433" s="8">
        <v>0.95</v>
      </c>
      <c r="L433" s="9">
        <f>E433*Scoring_Weights!$B$2 + F433*Scoring_Weights!$B$3 + G433*Scoring_Weights!$B$4</f>
        <v>80.4</v>
      </c>
      <c r="M433" s="6" t="str">
        <f>IF(AND(H433&gt;=(VLOOKUP(J433,Interview_Slots!$A$2:$D$5,4,FALSE)/100), L433&gt;=VLOOKUP(J433,Interview_Slots!$A$2:$D$5,3,FALSE)), "Eligible", "Not Eligible")</f>
        <v>Eligible</v>
      </c>
    </row>
    <row r="434">
      <c r="A434" s="6" t="s">
        <v>898</v>
      </c>
      <c r="B434" s="6" t="s">
        <v>899</v>
      </c>
      <c r="C434" s="6" t="s">
        <v>59</v>
      </c>
      <c r="D434" s="7" t="str">
        <f>VLOOKUP(C434, Dept_Lookup!$A$2:$B$17, 2, FALSE)</f>
        <v>Civil</v>
      </c>
      <c r="E434" s="6">
        <v>55.0</v>
      </c>
      <c r="F434" s="6">
        <v>79.0</v>
      </c>
      <c r="G434" s="6">
        <v>91.0</v>
      </c>
      <c r="H434" s="8">
        <v>0.75</v>
      </c>
      <c r="I434" s="7">
        <v>45900.0</v>
      </c>
      <c r="J434" s="6" t="s">
        <v>21</v>
      </c>
      <c r="K434" s="8">
        <v>0.82</v>
      </c>
      <c r="L434" s="9">
        <f>E434*Scoring_Weights!$B$2 + F434*Scoring_Weights!$B$3 + G434*Scoring_Weights!$B$4</f>
        <v>81.4</v>
      </c>
      <c r="M434" s="6" t="str">
        <f>IF(AND(H434&gt;=(VLOOKUP(J434,Interview_Slots!$A$2:$D$5,4,FALSE)/100), L434&gt;=VLOOKUP(J434,Interview_Slots!$A$2:$D$5,3,FALSE)), "Eligible", "Not Eligible")</f>
        <v>Not Eligible</v>
      </c>
    </row>
    <row r="435">
      <c r="A435" s="6" t="s">
        <v>900</v>
      </c>
      <c r="B435" s="6" t="s">
        <v>901</v>
      </c>
      <c r="C435" s="6" t="s">
        <v>62</v>
      </c>
      <c r="D435" s="7" t="str">
        <f>VLOOKUP(C435, Dept_Lookup!$A$2:$B$17, 2, FALSE)</f>
        <v>Civil</v>
      </c>
      <c r="E435" s="6">
        <v>58.0</v>
      </c>
      <c r="F435" s="6">
        <v>68.0</v>
      </c>
      <c r="G435" s="6">
        <v>76.0</v>
      </c>
      <c r="H435" s="8">
        <v>0.9</v>
      </c>
      <c r="I435" s="7">
        <v>45865.0</v>
      </c>
      <c r="J435" s="6" t="s">
        <v>25</v>
      </c>
      <c r="K435" s="8">
        <v>0.8</v>
      </c>
      <c r="L435" s="9">
        <f>E435*Scoring_Weights!$B$2 + F435*Scoring_Weights!$B$3 + G435*Scoring_Weights!$B$4</f>
        <v>70.5</v>
      </c>
      <c r="M435" s="6" t="str">
        <f>IF(AND(H435&gt;=(VLOOKUP(J435,Interview_Slots!$A$2:$D$5,4,FALSE)/100), L435&gt;=VLOOKUP(J435,Interview_Slots!$A$2:$D$5,3,FALSE)), "Eligible", "Not Eligible")</f>
        <v>Not Eligible</v>
      </c>
    </row>
    <row r="436">
      <c r="A436" s="6" t="s">
        <v>902</v>
      </c>
      <c r="B436" s="6" t="s">
        <v>903</v>
      </c>
      <c r="C436" s="6" t="s">
        <v>16</v>
      </c>
      <c r="D436" s="7" t="str">
        <f>VLOOKUP(C436, Dept_Lookup!$A$2:$B$17, 2, FALSE)</f>
        <v>Computer Science</v>
      </c>
      <c r="E436" s="6">
        <v>69.0</v>
      </c>
      <c r="F436" s="6">
        <v>73.0</v>
      </c>
      <c r="G436" s="6">
        <v>82.0</v>
      </c>
      <c r="H436" s="8">
        <v>0.76</v>
      </c>
      <c r="I436" s="7">
        <v>45878.0</v>
      </c>
      <c r="J436" s="6" t="s">
        <v>25</v>
      </c>
      <c r="K436" s="8">
        <v>0.86</v>
      </c>
      <c r="L436" s="9">
        <f>E436*Scoring_Weights!$B$2 + F436*Scoring_Weights!$B$3 + G436*Scoring_Weights!$B$4</f>
        <v>76.9</v>
      </c>
      <c r="M436" s="6" t="str">
        <f>IF(AND(H436&gt;=(VLOOKUP(J436,Interview_Slots!$A$2:$D$5,4,FALSE)/100), L436&gt;=VLOOKUP(J436,Interview_Slots!$A$2:$D$5,3,FALSE)), "Eligible", "Not Eligible")</f>
        <v>Not Eligible</v>
      </c>
    </row>
    <row r="437">
      <c r="A437" s="6" t="s">
        <v>904</v>
      </c>
      <c r="B437" s="6" t="s">
        <v>905</v>
      </c>
      <c r="C437" s="6" t="s">
        <v>20</v>
      </c>
      <c r="D437" s="7" t="str">
        <f>VLOOKUP(C437, Dept_Lookup!$A$2:$B$17, 2, FALSE)</f>
        <v>Computer Science</v>
      </c>
      <c r="E437" s="6">
        <v>90.0</v>
      </c>
      <c r="F437" s="6">
        <v>80.0</v>
      </c>
      <c r="G437" s="6">
        <v>97.0</v>
      </c>
      <c r="H437" s="8">
        <v>0.78</v>
      </c>
      <c r="I437" s="7">
        <v>45877.0</v>
      </c>
      <c r="J437" s="6" t="s">
        <v>25</v>
      </c>
      <c r="K437" s="8">
        <v>0.77</v>
      </c>
      <c r="L437" s="9">
        <f>E437*Scoring_Weights!$B$2 + F437*Scoring_Weights!$B$3 + G437*Scoring_Weights!$B$4</f>
        <v>90</v>
      </c>
      <c r="M437" s="6" t="str">
        <f>IF(AND(H437&gt;=(VLOOKUP(J437,Interview_Slots!$A$2:$D$5,4,FALSE)/100), L437&gt;=VLOOKUP(J437,Interview_Slots!$A$2:$D$5,3,FALSE)), "Eligible", "Not Eligible")</f>
        <v>Not Eligible</v>
      </c>
    </row>
    <row r="438">
      <c r="A438" s="6" t="s">
        <v>906</v>
      </c>
      <c r="B438" s="6" t="s">
        <v>907</v>
      </c>
      <c r="C438" s="6" t="s">
        <v>24</v>
      </c>
      <c r="D438" s="7" t="str">
        <f>VLOOKUP(C438, Dept_Lookup!$A$2:$B$17, 2, FALSE)</f>
        <v>Computer Science</v>
      </c>
      <c r="E438" s="6">
        <v>90.0</v>
      </c>
      <c r="F438" s="6">
        <v>83.0</v>
      </c>
      <c r="G438" s="6">
        <v>100.0</v>
      </c>
      <c r="H438" s="8">
        <v>0.87</v>
      </c>
      <c r="I438" s="7">
        <v>45871.0</v>
      </c>
      <c r="J438" s="6" t="s">
        <v>25</v>
      </c>
      <c r="K438" s="8">
        <v>0.82</v>
      </c>
      <c r="L438" s="9">
        <f>E438*Scoring_Weights!$B$2 + F438*Scoring_Weights!$B$3 + G438*Scoring_Weights!$B$4</f>
        <v>92.55</v>
      </c>
      <c r="M438" s="6" t="str">
        <f>IF(AND(H438&gt;=(VLOOKUP(J438,Interview_Slots!$A$2:$D$5,4,FALSE)/100), L438&gt;=VLOOKUP(J438,Interview_Slots!$A$2:$D$5,3,FALSE)), "Eligible", "Not Eligible")</f>
        <v>Eligible</v>
      </c>
    </row>
    <row r="439">
      <c r="A439" s="6" t="s">
        <v>908</v>
      </c>
      <c r="B439" s="6" t="s">
        <v>909</v>
      </c>
      <c r="C439" s="6" t="s">
        <v>28</v>
      </c>
      <c r="D439" s="7" t="str">
        <f>VLOOKUP(C439, Dept_Lookup!$A$2:$B$17, 2, FALSE)</f>
        <v>Computer Science</v>
      </c>
      <c r="E439" s="6">
        <v>98.0</v>
      </c>
      <c r="F439" s="6">
        <v>72.0</v>
      </c>
      <c r="G439" s="6">
        <v>58.0</v>
      </c>
      <c r="H439" s="8">
        <v>0.79</v>
      </c>
      <c r="I439" s="7">
        <v>45885.0</v>
      </c>
      <c r="J439" s="6" t="s">
        <v>32</v>
      </c>
      <c r="K439" s="8">
        <v>0.79</v>
      </c>
      <c r="L439" s="9">
        <f>E439*Scoring_Weights!$B$2 + F439*Scoring_Weights!$B$3 + G439*Scoring_Weights!$B$4</f>
        <v>68.9</v>
      </c>
      <c r="M439" s="6" t="str">
        <f>IF(AND(H439&gt;=(VLOOKUP(J439,Interview_Slots!$A$2:$D$5,4,FALSE)/100), L439&gt;=VLOOKUP(J439,Interview_Slots!$A$2:$D$5,3,FALSE)), "Eligible", "Not Eligible")</f>
        <v>Eligible</v>
      </c>
    </row>
    <row r="440">
      <c r="A440" s="6" t="s">
        <v>910</v>
      </c>
      <c r="B440" s="6" t="s">
        <v>911</v>
      </c>
      <c r="C440" s="6" t="s">
        <v>31</v>
      </c>
      <c r="D440" s="7" t="str">
        <f>VLOOKUP(C440, Dept_Lookup!$A$2:$B$17, 2, FALSE)</f>
        <v>Electronics</v>
      </c>
      <c r="E440" s="6">
        <v>72.0</v>
      </c>
      <c r="F440" s="6">
        <v>91.0</v>
      </c>
      <c r="G440" s="6">
        <v>70.0</v>
      </c>
      <c r="H440" s="8">
        <v>0.93</v>
      </c>
      <c r="I440" s="7">
        <v>45893.0</v>
      </c>
      <c r="J440" s="6" t="s">
        <v>17</v>
      </c>
      <c r="K440" s="8">
        <v>0.82</v>
      </c>
      <c r="L440" s="9">
        <f>E440*Scoring_Weights!$B$2 + F440*Scoring_Weights!$B$3 + G440*Scoring_Weights!$B$4</f>
        <v>77.65</v>
      </c>
      <c r="M440" s="6" t="str">
        <f>IF(AND(H440&gt;=(VLOOKUP(J440,Interview_Slots!$A$2:$D$5,4,FALSE)/100), L440&gt;=VLOOKUP(J440,Interview_Slots!$A$2:$D$5,3,FALSE)), "Eligible", "Not Eligible")</f>
        <v>Eligible</v>
      </c>
    </row>
    <row r="441">
      <c r="A441" s="6" t="s">
        <v>912</v>
      </c>
      <c r="B441" s="6" t="s">
        <v>913</v>
      </c>
      <c r="C441" s="6" t="s">
        <v>35</v>
      </c>
      <c r="D441" s="7" t="str">
        <f>VLOOKUP(C441, Dept_Lookup!$A$2:$B$17, 2, FALSE)</f>
        <v>Electronics</v>
      </c>
      <c r="E441" s="6">
        <v>90.0</v>
      </c>
      <c r="F441" s="6">
        <v>76.0</v>
      </c>
      <c r="G441" s="6">
        <v>92.0</v>
      </c>
      <c r="H441" s="8">
        <v>0.79</v>
      </c>
      <c r="I441" s="7">
        <v>45880.0</v>
      </c>
      <c r="J441" s="6" t="s">
        <v>21</v>
      </c>
      <c r="K441" s="8">
        <v>0.99</v>
      </c>
      <c r="L441" s="9">
        <f>E441*Scoring_Weights!$B$2 + F441*Scoring_Weights!$B$3 + G441*Scoring_Weights!$B$4</f>
        <v>86.1</v>
      </c>
      <c r="M441" s="6" t="str">
        <f>IF(AND(H441&gt;=(VLOOKUP(J441,Interview_Slots!$A$2:$D$5,4,FALSE)/100), L441&gt;=VLOOKUP(J441,Interview_Slots!$A$2:$D$5,3,FALSE)), "Eligible", "Not Eligible")</f>
        <v>Not Eligible</v>
      </c>
    </row>
    <row r="442">
      <c r="A442" s="6" t="s">
        <v>914</v>
      </c>
      <c r="B442" s="6" t="s">
        <v>915</v>
      </c>
      <c r="C442" s="6" t="s">
        <v>38</v>
      </c>
      <c r="D442" s="7" t="str">
        <f>VLOOKUP(C442, Dept_Lookup!$A$2:$B$17, 2, FALSE)</f>
        <v>Electronics</v>
      </c>
      <c r="E442" s="6">
        <v>71.0</v>
      </c>
      <c r="F442" s="6">
        <v>88.0</v>
      </c>
      <c r="G442" s="6">
        <v>62.0</v>
      </c>
      <c r="H442" s="8">
        <v>0.86</v>
      </c>
      <c r="I442" s="7">
        <v>45865.0</v>
      </c>
      <c r="J442" s="6" t="s">
        <v>32</v>
      </c>
      <c r="K442" s="8">
        <v>0.92</v>
      </c>
      <c r="L442" s="9">
        <f>E442*Scoring_Weights!$B$2 + F442*Scoring_Weights!$B$3 + G442*Scoring_Weights!$B$4</f>
        <v>72.45</v>
      </c>
      <c r="M442" s="6" t="str">
        <f>IF(AND(H442&gt;=(VLOOKUP(J442,Interview_Slots!$A$2:$D$5,4,FALSE)/100), L442&gt;=VLOOKUP(J442,Interview_Slots!$A$2:$D$5,3,FALSE)), "Eligible", "Not Eligible")</f>
        <v>Eligible</v>
      </c>
    </row>
    <row r="443">
      <c r="A443" s="6" t="s">
        <v>916</v>
      </c>
      <c r="B443" s="6" t="s">
        <v>917</v>
      </c>
      <c r="C443" s="6" t="s">
        <v>41</v>
      </c>
      <c r="D443" s="7" t="str">
        <f>VLOOKUP(C443, Dept_Lookup!$A$2:$B$17, 2, FALSE)</f>
        <v>Electronics</v>
      </c>
      <c r="E443" s="6">
        <v>59.0</v>
      </c>
      <c r="F443" s="6">
        <v>61.0</v>
      </c>
      <c r="G443" s="6">
        <v>89.0</v>
      </c>
      <c r="H443" s="8">
        <v>0.83</v>
      </c>
      <c r="I443" s="7">
        <v>45870.0</v>
      </c>
      <c r="J443" s="6" t="s">
        <v>32</v>
      </c>
      <c r="K443" s="8">
        <v>0.81</v>
      </c>
      <c r="L443" s="9">
        <f>E443*Scoring_Weights!$B$2 + F443*Scoring_Weights!$B$3 + G443*Scoring_Weights!$B$4</f>
        <v>74.7</v>
      </c>
      <c r="M443" s="6" t="str">
        <f>IF(AND(H443&gt;=(VLOOKUP(J443,Interview_Slots!$A$2:$D$5,4,FALSE)/100), L443&gt;=VLOOKUP(J443,Interview_Slots!$A$2:$D$5,3,FALSE)), "Eligible", "Not Eligible")</f>
        <v>Eligible</v>
      </c>
    </row>
    <row r="444">
      <c r="A444" s="6" t="s">
        <v>918</v>
      </c>
      <c r="B444" s="6" t="s">
        <v>919</v>
      </c>
      <c r="C444" s="6" t="s">
        <v>44</v>
      </c>
      <c r="D444" s="7" t="str">
        <f>VLOOKUP(C444, Dept_Lookup!$A$2:$B$17, 2, FALSE)</f>
        <v>Mechanical</v>
      </c>
      <c r="E444" s="6">
        <v>72.0</v>
      </c>
      <c r="F444" s="6">
        <v>95.0</v>
      </c>
      <c r="G444" s="6">
        <v>78.0</v>
      </c>
      <c r="H444" s="8">
        <v>0.81</v>
      </c>
      <c r="I444" s="7">
        <v>45885.0</v>
      </c>
      <c r="J444" s="6" t="s">
        <v>17</v>
      </c>
      <c r="K444" s="8">
        <v>0.84</v>
      </c>
      <c r="L444" s="9">
        <f>E444*Scoring_Weights!$B$2 + F444*Scoring_Weights!$B$3 + G444*Scoring_Weights!$B$4</f>
        <v>83.05</v>
      </c>
      <c r="M444" s="6" t="str">
        <f>IF(AND(H444&gt;=(VLOOKUP(J444,Interview_Slots!$A$2:$D$5,4,FALSE)/100), L444&gt;=VLOOKUP(J444,Interview_Slots!$A$2:$D$5,3,FALSE)), "Eligible", "Not Eligible")</f>
        <v>Eligible</v>
      </c>
    </row>
    <row r="445">
      <c r="A445" s="6" t="s">
        <v>920</v>
      </c>
      <c r="B445" s="6" t="s">
        <v>921</v>
      </c>
      <c r="C445" s="6" t="s">
        <v>47</v>
      </c>
      <c r="D445" s="7" t="str">
        <f>VLOOKUP(C445, Dept_Lookup!$A$2:$B$17, 2, FALSE)</f>
        <v>Mechanical</v>
      </c>
      <c r="E445" s="6">
        <v>55.0</v>
      </c>
      <c r="F445" s="6">
        <v>72.0</v>
      </c>
      <c r="G445" s="6">
        <v>83.0</v>
      </c>
      <c r="H445" s="8">
        <v>0.8</v>
      </c>
      <c r="I445" s="7">
        <v>45913.0</v>
      </c>
      <c r="J445" s="6" t="s">
        <v>21</v>
      </c>
      <c r="K445" s="8">
        <v>0.75</v>
      </c>
      <c r="L445" s="9">
        <f>E445*Scoring_Weights!$B$2 + F445*Scoring_Weights!$B$3 + G445*Scoring_Weights!$B$4</f>
        <v>74.95</v>
      </c>
      <c r="M445" s="6" t="str">
        <f>IF(AND(H445&gt;=(VLOOKUP(J445,Interview_Slots!$A$2:$D$5,4,FALSE)/100), L445&gt;=VLOOKUP(J445,Interview_Slots!$A$2:$D$5,3,FALSE)), "Eligible", "Not Eligible")</f>
        <v>Eligible</v>
      </c>
    </row>
    <row r="446">
      <c r="A446" s="6" t="s">
        <v>922</v>
      </c>
      <c r="B446" s="6" t="s">
        <v>923</v>
      </c>
      <c r="C446" s="6" t="s">
        <v>50</v>
      </c>
      <c r="D446" s="7" t="str">
        <f>VLOOKUP(C446, Dept_Lookup!$A$2:$B$17, 2, FALSE)</f>
        <v>Mechanical</v>
      </c>
      <c r="E446" s="6">
        <v>55.0</v>
      </c>
      <c r="F446" s="6">
        <v>76.0</v>
      </c>
      <c r="G446" s="6">
        <v>57.0</v>
      </c>
      <c r="H446" s="8">
        <v>0.82</v>
      </c>
      <c r="I446" s="7">
        <v>45865.0</v>
      </c>
      <c r="J446" s="6" t="s">
        <v>21</v>
      </c>
      <c r="K446" s="8">
        <v>0.82</v>
      </c>
      <c r="L446" s="9">
        <f>E446*Scoring_Weights!$B$2 + F446*Scoring_Weights!$B$3 + G446*Scoring_Weights!$B$4</f>
        <v>63.35</v>
      </c>
      <c r="M446" s="6" t="str">
        <f>IF(AND(H446&gt;=(VLOOKUP(J446,Interview_Slots!$A$2:$D$5,4,FALSE)/100), L446&gt;=VLOOKUP(J446,Interview_Slots!$A$2:$D$5,3,FALSE)), "Eligible", "Not Eligible")</f>
        <v>Not Eligible</v>
      </c>
    </row>
    <row r="447">
      <c r="A447" s="6" t="s">
        <v>924</v>
      </c>
      <c r="B447" s="6" t="s">
        <v>925</v>
      </c>
      <c r="C447" s="6" t="s">
        <v>53</v>
      </c>
      <c r="D447" s="7" t="str">
        <f>VLOOKUP(C447, Dept_Lookup!$A$2:$B$17, 2, FALSE)</f>
        <v>Mechanical</v>
      </c>
      <c r="E447" s="6">
        <v>96.0</v>
      </c>
      <c r="F447" s="6">
        <v>74.0</v>
      </c>
      <c r="G447" s="6">
        <v>81.0</v>
      </c>
      <c r="H447" s="8">
        <v>0.91</v>
      </c>
      <c r="I447" s="7">
        <v>45900.0</v>
      </c>
      <c r="J447" s="6" t="s">
        <v>21</v>
      </c>
      <c r="K447" s="8">
        <v>0.99</v>
      </c>
      <c r="L447" s="9">
        <f>E447*Scoring_Weights!$B$2 + F447*Scoring_Weights!$B$3 + G447*Scoring_Weights!$B$4</f>
        <v>80.8</v>
      </c>
      <c r="M447" s="6" t="str">
        <f>IF(AND(H447&gt;=(VLOOKUP(J447,Interview_Slots!$A$2:$D$5,4,FALSE)/100), L447&gt;=VLOOKUP(J447,Interview_Slots!$A$2:$D$5,3,FALSE)), "Eligible", "Not Eligible")</f>
        <v>Eligible</v>
      </c>
    </row>
    <row r="448">
      <c r="A448" s="6" t="s">
        <v>926</v>
      </c>
      <c r="B448" s="6" t="s">
        <v>927</v>
      </c>
      <c r="C448" s="6" t="s">
        <v>56</v>
      </c>
      <c r="D448" s="7" t="str">
        <f>VLOOKUP(C448, Dept_Lookup!$A$2:$B$17, 2, FALSE)</f>
        <v>Civil</v>
      </c>
      <c r="E448" s="6">
        <v>80.0</v>
      </c>
      <c r="F448" s="6">
        <v>90.0</v>
      </c>
      <c r="G448" s="6">
        <v>94.0</v>
      </c>
      <c r="H448" s="8">
        <v>0.84</v>
      </c>
      <c r="I448" s="7">
        <v>45865.0</v>
      </c>
      <c r="J448" s="6" t="s">
        <v>25</v>
      </c>
      <c r="K448" s="8">
        <v>0.94</v>
      </c>
      <c r="L448" s="9">
        <f>E448*Scoring_Weights!$B$2 + F448*Scoring_Weights!$B$3 + G448*Scoring_Weights!$B$4</f>
        <v>90.5</v>
      </c>
      <c r="M448" s="6" t="str">
        <f>IF(AND(H448&gt;=(VLOOKUP(J448,Interview_Slots!$A$2:$D$5,4,FALSE)/100), L448&gt;=VLOOKUP(J448,Interview_Slots!$A$2:$D$5,3,FALSE)), "Eligible", "Not Eligible")</f>
        <v>Not Eligible</v>
      </c>
    </row>
    <row r="449">
      <c r="A449" s="6" t="s">
        <v>928</v>
      </c>
      <c r="B449" s="6" t="s">
        <v>929</v>
      </c>
      <c r="C449" s="6" t="s">
        <v>59</v>
      </c>
      <c r="D449" s="7" t="str">
        <f>VLOOKUP(C449, Dept_Lookup!$A$2:$B$17, 2, FALSE)</f>
        <v>Civil</v>
      </c>
      <c r="E449" s="6">
        <v>94.0</v>
      </c>
      <c r="F449" s="6">
        <v>68.0</v>
      </c>
      <c r="G449" s="6">
        <v>81.0</v>
      </c>
      <c r="H449" s="8">
        <v>0.92</v>
      </c>
      <c r="I449" s="7">
        <v>45865.0</v>
      </c>
      <c r="J449" s="6" t="s">
        <v>25</v>
      </c>
      <c r="K449" s="8">
        <v>0.76</v>
      </c>
      <c r="L449" s="9">
        <f>E449*Scoring_Weights!$B$2 + F449*Scoring_Weights!$B$3 + G449*Scoring_Weights!$B$4</f>
        <v>78.4</v>
      </c>
      <c r="M449" s="6" t="str">
        <f>IF(AND(H449&gt;=(VLOOKUP(J449,Interview_Slots!$A$2:$D$5,4,FALSE)/100), L449&gt;=VLOOKUP(J449,Interview_Slots!$A$2:$D$5,3,FALSE)), "Eligible", "Not Eligible")</f>
        <v>Eligible</v>
      </c>
    </row>
    <row r="450">
      <c r="A450" s="6" t="s">
        <v>930</v>
      </c>
      <c r="B450" s="6" t="s">
        <v>931</v>
      </c>
      <c r="C450" s="6" t="s">
        <v>62</v>
      </c>
      <c r="D450" s="7" t="str">
        <f>VLOOKUP(C450, Dept_Lookup!$A$2:$B$17, 2, FALSE)</f>
        <v>Civil</v>
      </c>
      <c r="E450" s="6">
        <v>98.0</v>
      </c>
      <c r="F450" s="6">
        <v>98.0</v>
      </c>
      <c r="G450" s="6">
        <v>71.0</v>
      </c>
      <c r="H450" s="8">
        <v>0.82</v>
      </c>
      <c r="I450" s="7">
        <v>45826.0</v>
      </c>
      <c r="J450" s="6" t="s">
        <v>17</v>
      </c>
      <c r="K450" s="8">
        <v>0.87</v>
      </c>
      <c r="L450" s="9">
        <f>E450*Scoring_Weights!$B$2 + F450*Scoring_Weights!$B$3 + G450*Scoring_Weights!$B$4</f>
        <v>84.5</v>
      </c>
      <c r="M450" s="6" t="str">
        <f>IF(AND(H450&gt;=(VLOOKUP(J450,Interview_Slots!$A$2:$D$5,4,FALSE)/100), L450&gt;=VLOOKUP(J450,Interview_Slots!$A$2:$D$5,3,FALSE)), "Eligible", "Not Eligible")</f>
        <v>Eligible</v>
      </c>
    </row>
    <row r="451">
      <c r="A451" s="6" t="s">
        <v>932</v>
      </c>
      <c r="B451" s="6" t="s">
        <v>933</v>
      </c>
      <c r="C451" s="6" t="s">
        <v>65</v>
      </c>
      <c r="D451" s="7" t="str">
        <f>VLOOKUP(C451, Dept_Lookup!$A$2:$B$17, 2, FALSE)</f>
        <v>Civil</v>
      </c>
      <c r="E451" s="6">
        <v>66.0</v>
      </c>
      <c r="F451" s="6">
        <v>94.0</v>
      </c>
      <c r="G451" s="6">
        <v>68.0</v>
      </c>
      <c r="H451" s="8">
        <v>0.82</v>
      </c>
      <c r="I451" s="7">
        <v>45865.0</v>
      </c>
      <c r="J451" s="6" t="s">
        <v>17</v>
      </c>
      <c r="K451" s="8">
        <v>0.85</v>
      </c>
      <c r="L451" s="9">
        <f>E451*Scoring_Weights!$B$2 + F451*Scoring_Weights!$B$3 + G451*Scoring_Weights!$B$4</f>
        <v>76.8</v>
      </c>
      <c r="M451" s="6" t="str">
        <f>IF(AND(H451&gt;=(VLOOKUP(J451,Interview_Slots!$A$2:$D$5,4,FALSE)/100), L451&gt;=VLOOKUP(J451,Interview_Slots!$A$2:$D$5,3,FALSE)), "Eligible", "Not Eligible")</f>
        <v>Eligible</v>
      </c>
    </row>
    <row r="452">
      <c r="A452" s="6" t="s">
        <v>934</v>
      </c>
      <c r="B452" s="6" t="s">
        <v>935</v>
      </c>
      <c r="C452" s="6" t="s">
        <v>16</v>
      </c>
      <c r="D452" s="7" t="str">
        <f>VLOOKUP(C452, Dept_Lookup!$A$2:$B$17, 2, FALSE)</f>
        <v>Computer Science</v>
      </c>
      <c r="E452" s="6">
        <v>88.0</v>
      </c>
      <c r="F452" s="6">
        <v>68.0</v>
      </c>
      <c r="G452" s="6">
        <v>90.0</v>
      </c>
      <c r="H452" s="8">
        <v>0.76</v>
      </c>
      <c r="I452" s="7">
        <v>45913.0</v>
      </c>
      <c r="J452" s="6" t="s">
        <v>32</v>
      </c>
      <c r="K452" s="8">
        <v>0.98</v>
      </c>
      <c r="L452" s="9">
        <f>E452*Scoring_Weights!$B$2 + F452*Scoring_Weights!$B$3 + G452*Scoring_Weights!$B$4</f>
        <v>82</v>
      </c>
      <c r="M452" s="6" t="str">
        <f>IF(AND(H452&gt;=(VLOOKUP(J452,Interview_Slots!$A$2:$D$5,4,FALSE)/100), L452&gt;=VLOOKUP(J452,Interview_Slots!$A$2:$D$5,3,FALSE)), "Eligible", "Not Eligible")</f>
        <v>Eligible</v>
      </c>
    </row>
    <row r="453">
      <c r="A453" s="6" t="s">
        <v>936</v>
      </c>
      <c r="B453" s="6" t="s">
        <v>937</v>
      </c>
      <c r="C453" s="6" t="s">
        <v>20</v>
      </c>
      <c r="D453" s="7" t="str">
        <f>VLOOKUP(C453, Dept_Lookup!$A$2:$B$17, 2, FALSE)</f>
        <v>Computer Science</v>
      </c>
      <c r="E453" s="6">
        <v>67.0</v>
      </c>
      <c r="F453" s="6">
        <v>90.0</v>
      </c>
      <c r="G453" s="6">
        <v>57.0</v>
      </c>
      <c r="H453" s="8">
        <v>0.92</v>
      </c>
      <c r="I453" s="7">
        <v>45887.0</v>
      </c>
      <c r="J453" s="6" t="s">
        <v>17</v>
      </c>
      <c r="K453" s="8">
        <v>0.89</v>
      </c>
      <c r="L453" s="9">
        <f>E453*Scoring_Weights!$B$2 + F453*Scoring_Weights!$B$3 + G453*Scoring_Weights!$B$4</f>
        <v>70.05</v>
      </c>
      <c r="M453" s="6" t="str">
        <f>IF(AND(H453&gt;=(VLOOKUP(J453,Interview_Slots!$A$2:$D$5,4,FALSE)/100), L453&gt;=VLOOKUP(J453,Interview_Slots!$A$2:$D$5,3,FALSE)), "Eligible", "Not Eligible")</f>
        <v>Eligible</v>
      </c>
    </row>
    <row r="454">
      <c r="A454" s="6" t="s">
        <v>938</v>
      </c>
      <c r="B454" s="6" t="s">
        <v>939</v>
      </c>
      <c r="C454" s="6" t="s">
        <v>24</v>
      </c>
      <c r="D454" s="7" t="str">
        <f>VLOOKUP(C454, Dept_Lookup!$A$2:$B$17, 2, FALSE)</f>
        <v>Computer Science</v>
      </c>
      <c r="E454" s="6">
        <v>55.0</v>
      </c>
      <c r="F454" s="6">
        <v>89.0</v>
      </c>
      <c r="G454" s="6">
        <v>60.0</v>
      </c>
      <c r="H454" s="8">
        <v>0.94</v>
      </c>
      <c r="I454" s="7">
        <v>45877.0</v>
      </c>
      <c r="J454" s="6" t="s">
        <v>21</v>
      </c>
      <c r="K454" s="8">
        <v>0.83</v>
      </c>
      <c r="L454" s="9">
        <f>E454*Scoring_Weights!$B$2 + F454*Scoring_Weights!$B$3 + G454*Scoring_Weights!$B$4</f>
        <v>69.4</v>
      </c>
      <c r="M454" s="6" t="str">
        <f>IF(AND(H454&gt;=(VLOOKUP(J454,Interview_Slots!$A$2:$D$5,4,FALSE)/100), L454&gt;=VLOOKUP(J454,Interview_Slots!$A$2:$D$5,3,FALSE)), "Eligible", "Not Eligible")</f>
        <v>Not Eligible</v>
      </c>
    </row>
    <row r="455">
      <c r="A455" s="6" t="s">
        <v>940</v>
      </c>
      <c r="B455" s="6" t="s">
        <v>941</v>
      </c>
      <c r="C455" s="6" t="s">
        <v>28</v>
      </c>
      <c r="D455" s="7" t="str">
        <f>VLOOKUP(C455, Dept_Lookup!$A$2:$B$17, 2, FALSE)</f>
        <v>Computer Science</v>
      </c>
      <c r="E455" s="6">
        <v>98.0</v>
      </c>
      <c r="F455" s="6">
        <v>66.0</v>
      </c>
      <c r="G455" s="6">
        <v>95.0</v>
      </c>
      <c r="H455" s="8">
        <v>0.91</v>
      </c>
      <c r="I455" s="7">
        <v>45871.0</v>
      </c>
      <c r="J455" s="6" t="s">
        <v>32</v>
      </c>
      <c r="K455" s="8">
        <v>1.0</v>
      </c>
      <c r="L455" s="9">
        <f>E455*Scoring_Weights!$B$2 + F455*Scoring_Weights!$B$3 + G455*Scoring_Weights!$B$4</f>
        <v>85.3</v>
      </c>
      <c r="M455" s="6" t="str">
        <f>IF(AND(H455&gt;=(VLOOKUP(J455,Interview_Slots!$A$2:$D$5,4,FALSE)/100), L455&gt;=VLOOKUP(J455,Interview_Slots!$A$2:$D$5,3,FALSE)), "Eligible", "Not Eligible")</f>
        <v>Eligible</v>
      </c>
    </row>
    <row r="456">
      <c r="A456" s="6" t="s">
        <v>942</v>
      </c>
      <c r="B456" s="6" t="s">
        <v>943</v>
      </c>
      <c r="C456" s="6" t="s">
        <v>31</v>
      </c>
      <c r="D456" s="7" t="str">
        <f>VLOOKUP(C456, Dept_Lookup!$A$2:$B$17, 2, FALSE)</f>
        <v>Electronics</v>
      </c>
      <c r="E456" s="6">
        <v>80.0</v>
      </c>
      <c r="F456" s="6">
        <v>87.0</v>
      </c>
      <c r="G456" s="6">
        <v>98.0</v>
      </c>
      <c r="H456" s="8">
        <v>0.94</v>
      </c>
      <c r="I456" s="7">
        <v>45882.0</v>
      </c>
      <c r="J456" s="6" t="s">
        <v>32</v>
      </c>
      <c r="K456" s="8">
        <v>0.93</v>
      </c>
      <c r="L456" s="9">
        <f>E456*Scoring_Weights!$B$2 + F456*Scoring_Weights!$B$3 + G456*Scoring_Weights!$B$4</f>
        <v>91.45</v>
      </c>
      <c r="M456" s="6" t="str">
        <f>IF(AND(H456&gt;=(VLOOKUP(J456,Interview_Slots!$A$2:$D$5,4,FALSE)/100), L456&gt;=VLOOKUP(J456,Interview_Slots!$A$2:$D$5,3,FALSE)), "Eligible", "Not Eligible")</f>
        <v>Eligible</v>
      </c>
    </row>
    <row r="457">
      <c r="A457" s="6" t="s">
        <v>944</v>
      </c>
      <c r="B457" s="6" t="s">
        <v>945</v>
      </c>
      <c r="C457" s="6" t="s">
        <v>35</v>
      </c>
      <c r="D457" s="7" t="str">
        <f>VLOOKUP(C457, Dept_Lookup!$A$2:$B$17, 2, FALSE)</f>
        <v>Electronics</v>
      </c>
      <c r="E457" s="6">
        <v>71.0</v>
      </c>
      <c r="F457" s="6">
        <v>96.0</v>
      </c>
      <c r="G457" s="6">
        <v>86.0</v>
      </c>
      <c r="H457" s="8">
        <v>0.77</v>
      </c>
      <c r="I457" s="7">
        <v>45877.0</v>
      </c>
      <c r="J457" s="6" t="s">
        <v>17</v>
      </c>
      <c r="K457" s="8">
        <v>0.88</v>
      </c>
      <c r="L457" s="9">
        <f>E457*Scoring_Weights!$B$2 + F457*Scoring_Weights!$B$3 + G457*Scoring_Weights!$B$4</f>
        <v>87.25</v>
      </c>
      <c r="M457" s="6" t="str">
        <f>IF(AND(H457&gt;=(VLOOKUP(J457,Interview_Slots!$A$2:$D$5,4,FALSE)/100), L457&gt;=VLOOKUP(J457,Interview_Slots!$A$2:$D$5,3,FALSE)), "Eligible", "Not Eligible")</f>
        <v>Eligible</v>
      </c>
    </row>
    <row r="458">
      <c r="A458" s="6" t="s">
        <v>946</v>
      </c>
      <c r="B458" s="6" t="s">
        <v>947</v>
      </c>
      <c r="C458" s="6" t="s">
        <v>38</v>
      </c>
      <c r="D458" s="7" t="str">
        <f>VLOOKUP(C458, Dept_Lookup!$A$2:$B$17, 2, FALSE)</f>
        <v>Electronics</v>
      </c>
      <c r="E458" s="6">
        <v>68.0</v>
      </c>
      <c r="F458" s="6">
        <v>84.0</v>
      </c>
      <c r="G458" s="6">
        <v>76.0</v>
      </c>
      <c r="H458" s="8">
        <v>0.78</v>
      </c>
      <c r="I458" s="7">
        <v>45882.0</v>
      </c>
      <c r="J458" s="6" t="s">
        <v>21</v>
      </c>
      <c r="K458" s="8">
        <v>0.87</v>
      </c>
      <c r="L458" s="9">
        <f>E458*Scoring_Weights!$B$2 + F458*Scoring_Weights!$B$3 + G458*Scoring_Weights!$B$4</f>
        <v>77.6</v>
      </c>
      <c r="M458" s="6" t="str">
        <f>IF(AND(H458&gt;=(VLOOKUP(J458,Interview_Slots!$A$2:$D$5,4,FALSE)/100), L458&gt;=VLOOKUP(J458,Interview_Slots!$A$2:$D$5,3,FALSE)), "Eligible", "Not Eligible")</f>
        <v>Not Eligible</v>
      </c>
    </row>
    <row r="459">
      <c r="A459" s="6" t="s">
        <v>948</v>
      </c>
      <c r="B459" s="6" t="s">
        <v>949</v>
      </c>
      <c r="C459" s="6" t="s">
        <v>41</v>
      </c>
      <c r="D459" s="7" t="str">
        <f>VLOOKUP(C459, Dept_Lookup!$A$2:$B$17, 2, FALSE)</f>
        <v>Electronics</v>
      </c>
      <c r="E459" s="6">
        <v>66.0</v>
      </c>
      <c r="F459" s="6">
        <v>68.0</v>
      </c>
      <c r="G459" s="6">
        <v>93.0</v>
      </c>
      <c r="H459" s="8">
        <v>0.79</v>
      </c>
      <c r="I459" s="7">
        <v>45919.0</v>
      </c>
      <c r="J459" s="6" t="s">
        <v>21</v>
      </c>
      <c r="K459" s="8">
        <v>0.81</v>
      </c>
      <c r="L459" s="9">
        <f>E459*Scoring_Weights!$B$2 + F459*Scoring_Weights!$B$3 + G459*Scoring_Weights!$B$4</f>
        <v>80.2</v>
      </c>
      <c r="M459" s="6" t="str">
        <f>IF(AND(H459&gt;=(VLOOKUP(J459,Interview_Slots!$A$2:$D$5,4,FALSE)/100), L459&gt;=VLOOKUP(J459,Interview_Slots!$A$2:$D$5,3,FALSE)), "Eligible", "Not Eligible")</f>
        <v>Not Eligible</v>
      </c>
    </row>
    <row r="460">
      <c r="A460" s="6" t="s">
        <v>950</v>
      </c>
      <c r="B460" s="6" t="s">
        <v>951</v>
      </c>
      <c r="C460" s="6" t="s">
        <v>44</v>
      </c>
      <c r="D460" s="7" t="str">
        <f>VLOOKUP(C460, Dept_Lookup!$A$2:$B$17, 2, FALSE)</f>
        <v>Mechanical</v>
      </c>
      <c r="E460" s="6">
        <v>62.0</v>
      </c>
      <c r="F460" s="6">
        <v>86.0</v>
      </c>
      <c r="G460" s="6">
        <v>58.0</v>
      </c>
      <c r="H460" s="8">
        <v>0.77</v>
      </c>
      <c r="I460" s="7">
        <v>45860.0</v>
      </c>
      <c r="J460" s="6" t="s">
        <v>21</v>
      </c>
      <c r="K460" s="8">
        <v>0.86</v>
      </c>
      <c r="L460" s="9">
        <f>E460*Scoring_Weights!$B$2 + F460*Scoring_Weights!$B$3 + G460*Scoring_Weights!$B$4</f>
        <v>68.4</v>
      </c>
      <c r="M460" s="6" t="str">
        <f>IF(AND(H460&gt;=(VLOOKUP(J460,Interview_Slots!$A$2:$D$5,4,FALSE)/100), L460&gt;=VLOOKUP(J460,Interview_Slots!$A$2:$D$5,3,FALSE)), "Eligible", "Not Eligible")</f>
        <v>Not Eligible</v>
      </c>
    </row>
    <row r="461">
      <c r="A461" s="6" t="s">
        <v>952</v>
      </c>
      <c r="B461" s="6" t="s">
        <v>953</v>
      </c>
      <c r="C461" s="6" t="s">
        <v>47</v>
      </c>
      <c r="D461" s="7" t="str">
        <f>VLOOKUP(C461, Dept_Lookup!$A$2:$B$17, 2, FALSE)</f>
        <v>Mechanical</v>
      </c>
      <c r="E461" s="6">
        <v>84.0</v>
      </c>
      <c r="F461" s="6">
        <v>97.0</v>
      </c>
      <c r="G461" s="6">
        <v>79.0</v>
      </c>
      <c r="H461" s="8">
        <v>0.95</v>
      </c>
      <c r="I461" s="7">
        <v>45874.0</v>
      </c>
      <c r="J461" s="6" t="s">
        <v>25</v>
      </c>
      <c r="K461" s="8">
        <v>0.83</v>
      </c>
      <c r="L461" s="9">
        <f>E461*Scoring_Weights!$B$2 + F461*Scoring_Weights!$B$3 + G461*Scoring_Weights!$B$4</f>
        <v>86.05</v>
      </c>
      <c r="M461" s="6" t="str">
        <f>IF(AND(H461&gt;=(VLOOKUP(J461,Interview_Slots!$A$2:$D$5,4,FALSE)/100), L461&gt;=VLOOKUP(J461,Interview_Slots!$A$2:$D$5,3,FALSE)), "Eligible", "Not Eligible")</f>
        <v>Eligible</v>
      </c>
    </row>
    <row r="462">
      <c r="A462" s="6" t="s">
        <v>954</v>
      </c>
      <c r="B462" s="6" t="s">
        <v>955</v>
      </c>
      <c r="C462" s="6" t="s">
        <v>50</v>
      </c>
      <c r="D462" s="7" t="str">
        <f>VLOOKUP(C462, Dept_Lookup!$A$2:$B$17, 2, FALSE)</f>
        <v>Mechanical</v>
      </c>
      <c r="E462" s="6">
        <v>88.0</v>
      </c>
      <c r="F462" s="6">
        <v>88.0</v>
      </c>
      <c r="G462" s="6">
        <v>71.0</v>
      </c>
      <c r="H462" s="8">
        <v>0.88</v>
      </c>
      <c r="I462" s="7">
        <v>45900.0</v>
      </c>
      <c r="J462" s="6" t="s">
        <v>25</v>
      </c>
      <c r="K462" s="8">
        <v>0.94</v>
      </c>
      <c r="L462" s="9">
        <f>E462*Scoring_Weights!$B$2 + F462*Scoring_Weights!$B$3 + G462*Scoring_Weights!$B$4</f>
        <v>79.5</v>
      </c>
      <c r="M462" s="6" t="str">
        <f>IF(AND(H462&gt;=(VLOOKUP(J462,Interview_Slots!$A$2:$D$5,4,FALSE)/100), L462&gt;=VLOOKUP(J462,Interview_Slots!$A$2:$D$5,3,FALSE)), "Eligible", "Not Eligible")</f>
        <v>Eligible</v>
      </c>
    </row>
    <row r="463">
      <c r="A463" s="6" t="s">
        <v>956</v>
      </c>
      <c r="B463" s="6" t="s">
        <v>957</v>
      </c>
      <c r="C463" s="6" t="s">
        <v>53</v>
      </c>
      <c r="D463" s="7" t="str">
        <f>VLOOKUP(C463, Dept_Lookup!$A$2:$B$17, 2, FALSE)</f>
        <v>Mechanical</v>
      </c>
      <c r="E463" s="6">
        <v>69.0</v>
      </c>
      <c r="F463" s="6">
        <v>80.0</v>
      </c>
      <c r="G463" s="6">
        <v>75.0</v>
      </c>
      <c r="H463" s="8">
        <v>0.84</v>
      </c>
      <c r="I463" s="7">
        <v>45878.0</v>
      </c>
      <c r="J463" s="6" t="s">
        <v>25</v>
      </c>
      <c r="K463" s="8">
        <v>0.86</v>
      </c>
      <c r="L463" s="9">
        <f>E463*Scoring_Weights!$B$2 + F463*Scoring_Weights!$B$3 + G463*Scoring_Weights!$B$4</f>
        <v>75.85</v>
      </c>
      <c r="M463" s="6" t="str">
        <f>IF(AND(H463&gt;=(VLOOKUP(J463,Interview_Slots!$A$2:$D$5,4,FALSE)/100), L463&gt;=VLOOKUP(J463,Interview_Slots!$A$2:$D$5,3,FALSE)), "Eligible", "Not Eligible")</f>
        <v>Not Eligible</v>
      </c>
    </row>
    <row r="464">
      <c r="A464" s="6" t="s">
        <v>958</v>
      </c>
      <c r="B464" s="6" t="s">
        <v>959</v>
      </c>
      <c r="C464" s="6" t="s">
        <v>56</v>
      </c>
      <c r="D464" s="7" t="str">
        <f>VLOOKUP(C464, Dept_Lookup!$A$2:$B$17, 2, FALSE)</f>
        <v>Civil</v>
      </c>
      <c r="E464" s="6">
        <v>77.0</v>
      </c>
      <c r="F464" s="6">
        <v>93.0</v>
      </c>
      <c r="G464" s="6">
        <v>76.0</v>
      </c>
      <c r="H464" s="8">
        <v>0.79</v>
      </c>
      <c r="I464" s="7">
        <v>45865.0</v>
      </c>
      <c r="J464" s="6" t="s">
        <v>17</v>
      </c>
      <c r="K464" s="8">
        <v>0.73</v>
      </c>
      <c r="L464" s="9">
        <f>E464*Scoring_Weights!$B$2 + F464*Scoring_Weights!$B$3 + G464*Scoring_Weights!$B$4</f>
        <v>82.1</v>
      </c>
      <c r="M464" s="6" t="str">
        <f>IF(AND(H464&gt;=(VLOOKUP(J464,Interview_Slots!$A$2:$D$5,4,FALSE)/100), L464&gt;=VLOOKUP(J464,Interview_Slots!$A$2:$D$5,3,FALSE)), "Eligible", "Not Eligible")</f>
        <v>Eligible</v>
      </c>
    </row>
    <row r="465">
      <c r="D465" s="7"/>
      <c r="H465" s="8"/>
      <c r="I465" s="8"/>
      <c r="L465" s="9"/>
    </row>
    <row r="466">
      <c r="L466" s="9"/>
    </row>
    <row r="467">
      <c r="L467" s="9"/>
    </row>
    <row r="468">
      <c r="L468" s="9"/>
    </row>
    <row r="469">
      <c r="L469" s="9"/>
    </row>
    <row r="470">
      <c r="L470" s="9"/>
    </row>
    <row r="471">
      <c r="L471" s="9"/>
    </row>
    <row r="472">
      <c r="L472" s="9"/>
    </row>
    <row r="473">
      <c r="L473" s="9"/>
    </row>
    <row r="474">
      <c r="L474" s="9"/>
    </row>
    <row r="475">
      <c r="L475" s="9"/>
    </row>
    <row r="476">
      <c r="L476" s="9"/>
    </row>
    <row r="477">
      <c r="L477" s="9"/>
    </row>
    <row r="478">
      <c r="L478" s="9"/>
    </row>
    <row r="479">
      <c r="L479" s="9"/>
    </row>
    <row r="480">
      <c r="L480" s="9"/>
    </row>
    <row r="481">
      <c r="L481" s="9"/>
    </row>
    <row r="482">
      <c r="L482" s="9"/>
    </row>
    <row r="483">
      <c r="L483" s="9"/>
    </row>
    <row r="525">
      <c r="H525" s="8"/>
      <c r="I525" s="8"/>
      <c r="J525" s="8"/>
    </row>
    <row r="526">
      <c r="H526" s="8"/>
      <c r="I526" s="8"/>
      <c r="J526" s="8"/>
    </row>
    <row r="529">
      <c r="H529" s="8"/>
      <c r="I529" s="8"/>
      <c r="J529" s="8"/>
    </row>
    <row r="530">
      <c r="H530" s="8"/>
      <c r="I530" s="8"/>
      <c r="J530" s="8"/>
    </row>
    <row r="531">
      <c r="K531" s="12"/>
    </row>
    <row r="534">
      <c r="K534" s="8"/>
    </row>
    <row r="539">
      <c r="K539" s="12"/>
    </row>
    <row r="544">
      <c r="K544" s="12"/>
    </row>
    <row r="546">
      <c r="K546" s="8"/>
    </row>
    <row r="548">
      <c r="K548" s="12"/>
    </row>
    <row r="549">
      <c r="K549" s="8"/>
    </row>
    <row r="554">
      <c r="K554" s="12"/>
    </row>
    <row r="556">
      <c r="K556" s="8"/>
    </row>
    <row r="558">
      <c r="K558" s="8"/>
    </row>
    <row r="559">
      <c r="K559" s="8"/>
    </row>
    <row r="566">
      <c r="K566" s="8"/>
    </row>
    <row r="575">
      <c r="K575" s="12"/>
    </row>
    <row r="577">
      <c r="K577" s="8"/>
    </row>
    <row r="578">
      <c r="K578" s="8"/>
    </row>
    <row r="583">
      <c r="K583" s="8"/>
    </row>
    <row r="592">
      <c r="K592" s="8"/>
    </row>
    <row r="600">
      <c r="K600" s="8"/>
    </row>
    <row r="604">
      <c r="K604" s="8"/>
    </row>
    <row r="614">
      <c r="K614" s="8"/>
    </row>
    <row r="618">
      <c r="K618" s="8"/>
    </row>
    <row r="624">
      <c r="K624" s="8"/>
    </row>
    <row r="626">
      <c r="K626" s="8"/>
    </row>
    <row r="628">
      <c r="K628" s="8"/>
    </row>
    <row r="630">
      <c r="K630" s="8"/>
    </row>
    <row r="644">
      <c r="K644" s="8"/>
    </row>
    <row r="645">
      <c r="K645" s="12"/>
    </row>
    <row r="650">
      <c r="K650" s="8"/>
    </row>
    <row r="652">
      <c r="K652" s="8"/>
    </row>
    <row r="661">
      <c r="K661" s="12"/>
    </row>
    <row r="667">
      <c r="K667" s="8"/>
    </row>
    <row r="668">
      <c r="K668" s="12"/>
    </row>
    <row r="670">
      <c r="K670" s="8"/>
    </row>
    <row r="672">
      <c r="K672" s="12"/>
    </row>
    <row r="683">
      <c r="K683" s="8"/>
    </row>
    <row r="684">
      <c r="K684" s="8"/>
    </row>
    <row r="685">
      <c r="K685" s="8"/>
    </row>
    <row r="690">
      <c r="K690" s="12"/>
    </row>
    <row r="696">
      <c r="K696" s="8"/>
    </row>
    <row r="697">
      <c r="K697" s="8"/>
    </row>
    <row r="711">
      <c r="K711" s="8"/>
    </row>
    <row r="712">
      <c r="K712" s="12"/>
    </row>
    <row r="713">
      <c r="K713" s="8"/>
    </row>
    <row r="716">
      <c r="K716" s="8"/>
    </row>
    <row r="717">
      <c r="K717" s="8"/>
    </row>
    <row r="731">
      <c r="K731" s="8"/>
    </row>
    <row r="732">
      <c r="K732" s="8"/>
    </row>
    <row r="744">
      <c r="K744" s="8"/>
    </row>
    <row r="746">
      <c r="K746" s="8"/>
    </row>
    <row r="748">
      <c r="K748" s="8"/>
    </row>
    <row r="752">
      <c r="K752" s="8"/>
    </row>
    <row r="755">
      <c r="K755" s="8"/>
    </row>
    <row r="759">
      <c r="K759" s="8"/>
    </row>
    <row r="763">
      <c r="K763" s="8"/>
    </row>
    <row r="765">
      <c r="K765" s="8"/>
    </row>
    <row r="769">
      <c r="K769" s="8"/>
    </row>
    <row r="774">
      <c r="K774" s="8"/>
    </row>
    <row r="776">
      <c r="K776" s="8"/>
    </row>
    <row r="778">
      <c r="K778" s="8"/>
    </row>
    <row r="780">
      <c r="K780" s="8"/>
    </row>
    <row r="782">
      <c r="K782" s="8"/>
    </row>
    <row r="783">
      <c r="K783" s="12"/>
    </row>
    <row r="790">
      <c r="K790" s="8"/>
    </row>
    <row r="791">
      <c r="K791" s="8"/>
    </row>
    <row r="794">
      <c r="K794" s="8"/>
    </row>
    <row r="809">
      <c r="K809" s="8"/>
    </row>
    <row r="814">
      <c r="K814" s="12"/>
    </row>
    <row r="823">
      <c r="K823" s="8"/>
    </row>
    <row r="824">
      <c r="K824" s="8"/>
    </row>
    <row r="825">
      <c r="K825" s="8"/>
    </row>
    <row r="828">
      <c r="K828" s="8"/>
    </row>
    <row r="829">
      <c r="K829" s="12"/>
    </row>
    <row r="830">
      <c r="K830" s="8"/>
    </row>
    <row r="834">
      <c r="K834" s="8"/>
    </row>
    <row r="838">
      <c r="K838" s="8"/>
    </row>
    <row r="839">
      <c r="K839" s="12"/>
    </row>
    <row r="841">
      <c r="K841" s="12"/>
    </row>
    <row r="846">
      <c r="K846" s="8"/>
    </row>
    <row r="848">
      <c r="K848" s="8"/>
    </row>
    <row r="850">
      <c r="K850" s="8"/>
    </row>
    <row r="854">
      <c r="K854" s="8"/>
    </row>
    <row r="868">
      <c r="K868" s="8"/>
    </row>
    <row r="872">
      <c r="K872" s="8"/>
    </row>
    <row r="873">
      <c r="K873" s="8"/>
    </row>
    <row r="875">
      <c r="K875" s="12"/>
    </row>
    <row r="877">
      <c r="K877" s="8"/>
    </row>
    <row r="878">
      <c r="K878" s="12"/>
    </row>
    <row r="882">
      <c r="K882" s="8"/>
    </row>
    <row r="903">
      <c r="K903" s="8"/>
    </row>
    <row r="904">
      <c r="K904" s="8"/>
    </row>
    <row r="907">
      <c r="K907" s="8"/>
    </row>
    <row r="911">
      <c r="K911" s="8"/>
    </row>
    <row r="916">
      <c r="K916" s="8"/>
    </row>
    <row r="917">
      <c r="K917" s="8"/>
    </row>
    <row r="920">
      <c r="K920" s="8"/>
    </row>
    <row r="924">
      <c r="K924" s="8"/>
    </row>
  </sheetData>
  <autoFilter ref="$A$1:$M$1000">
    <sortState ref="A1:M1000">
      <sortCondition ref="A1:A1000"/>
      <sortCondition ref="M1:M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3</v>
      </c>
      <c r="D1" s="2" t="s">
        <v>9</v>
      </c>
      <c r="E1" s="2" t="s">
        <v>11</v>
      </c>
      <c r="F1" s="2" t="s">
        <v>12</v>
      </c>
      <c r="G1" s="2" t="s">
        <v>960</v>
      </c>
      <c r="H1" s="2" t="s">
        <v>961</v>
      </c>
      <c r="I1" s="2"/>
    </row>
    <row r="2">
      <c r="A2" s="6" t="s">
        <v>14</v>
      </c>
      <c r="B2" s="6" t="s">
        <v>15</v>
      </c>
      <c r="C2" s="7" t="s">
        <v>28</v>
      </c>
      <c r="D2" s="6" t="s">
        <v>17</v>
      </c>
      <c r="E2" s="9">
        <v>64.4</v>
      </c>
      <c r="F2" s="6" t="s">
        <v>962</v>
      </c>
      <c r="G2" s="6">
        <f>IFERROR(__xludf.DUMMYFUNCTION("RANK(E2, FILTER($E$2:$E1000, $D$2:$D1000=D2), 0)"),108.0)</f>
        <v>108</v>
      </c>
      <c r="H2" s="9" t="str">
        <f>IF(G2&lt;=VLOOKUP(D2, Interview_Slots!$A$2:$B$5, 2, FALSE), "Allocated", "Not Allocated")</f>
        <v>Not Allocated</v>
      </c>
      <c r="J2" s="13"/>
    </row>
    <row r="3">
      <c r="A3" s="6" t="s">
        <v>18</v>
      </c>
      <c r="B3" s="6" t="s">
        <v>19</v>
      </c>
      <c r="C3" s="7" t="s">
        <v>28</v>
      </c>
      <c r="D3" s="6" t="s">
        <v>21</v>
      </c>
      <c r="E3" s="9">
        <v>71.15</v>
      </c>
      <c r="F3" s="6" t="s">
        <v>962</v>
      </c>
      <c r="G3" s="6">
        <f>IFERROR(__xludf.DUMMYFUNCTION("RANK(E3, FILTER($E$2:$E1000, $D$2:$D1000=D3), 0)"),98.0)</f>
        <v>98</v>
      </c>
      <c r="H3" s="9" t="str">
        <f>IF(G3&lt;=VLOOKUP(D3, Interview_Slots!$A$2:$B$5, 2, FALSE), "Allocated", "Not Allocated")</f>
        <v>Not Allocated</v>
      </c>
    </row>
    <row r="4">
      <c r="A4" s="6" t="s">
        <v>22</v>
      </c>
      <c r="B4" s="6" t="s">
        <v>23</v>
      </c>
      <c r="C4" s="7" t="s">
        <v>28</v>
      </c>
      <c r="D4" s="6" t="s">
        <v>25</v>
      </c>
      <c r="E4" s="9">
        <v>79.15</v>
      </c>
      <c r="F4" s="6" t="s">
        <v>962</v>
      </c>
      <c r="G4" s="6">
        <f>IFERROR(__xludf.DUMMYFUNCTION("RANK(E4, FILTER($E$2:$E1000, $D$2:$D1000=D4), 0)"),50.0)</f>
        <v>50</v>
      </c>
      <c r="H4" s="9" t="str">
        <f>IF(G4&lt;=VLOOKUP(D4, Interview_Slots!$A$2:$B$5, 2, FALSE), "Allocated", "Not Allocated")</f>
        <v>Not Allocated</v>
      </c>
    </row>
    <row r="5">
      <c r="A5" s="6" t="s">
        <v>26</v>
      </c>
      <c r="B5" s="6" t="s">
        <v>27</v>
      </c>
      <c r="C5" s="7" t="s">
        <v>28</v>
      </c>
      <c r="D5" s="6" t="s">
        <v>21</v>
      </c>
      <c r="E5" s="9">
        <v>76.55</v>
      </c>
      <c r="F5" s="6" t="s">
        <v>962</v>
      </c>
      <c r="G5" s="6">
        <f>IFERROR(__xludf.DUMMYFUNCTION("RANK(E5, FILTER($E$2:$E1000, $D$2:$D1000=D5), 0)"),66.0)</f>
        <v>66</v>
      </c>
      <c r="H5" s="9" t="str">
        <f>IF(G5&lt;=VLOOKUP(D5, Interview_Slots!$A$2:$B$5, 2, FALSE), "Allocated", "Not Allocated")</f>
        <v>Not Allocated</v>
      </c>
    </row>
    <row r="6">
      <c r="A6" s="6" t="s">
        <v>29</v>
      </c>
      <c r="B6" s="6" t="s">
        <v>30</v>
      </c>
      <c r="C6" s="7" t="s">
        <v>41</v>
      </c>
      <c r="D6" s="6" t="s">
        <v>32</v>
      </c>
      <c r="E6" s="9">
        <v>91.55</v>
      </c>
      <c r="F6" s="6" t="s">
        <v>962</v>
      </c>
      <c r="G6" s="6">
        <f>IFERROR(__xludf.DUMMYFUNCTION("RANK(E6, FILTER($E$2:$E1000, $D$2:$D1000=D6), 0)"),2.0)</f>
        <v>2</v>
      </c>
      <c r="H6" s="9" t="str">
        <f>IF(G6&lt;=VLOOKUP(D6, Interview_Slots!$A$2:$B$5, 2, FALSE), "Allocated", "Not Allocated")</f>
        <v>Allocated</v>
      </c>
    </row>
    <row r="7">
      <c r="A7" s="6" t="s">
        <v>33</v>
      </c>
      <c r="B7" s="6" t="s">
        <v>34</v>
      </c>
      <c r="C7" s="7" t="s">
        <v>41</v>
      </c>
      <c r="D7" s="6" t="s">
        <v>25</v>
      </c>
      <c r="E7" s="9">
        <v>82.05</v>
      </c>
      <c r="F7" s="6" t="s">
        <v>963</v>
      </c>
      <c r="G7" s="6">
        <f>IFERROR(__xludf.DUMMYFUNCTION("RANK(E7, FILTER($E$2:$E1000, $D$2:$D1000=D7), 0)"),37.0)</f>
        <v>37</v>
      </c>
      <c r="H7" s="9" t="str">
        <f>IF(G7&lt;=VLOOKUP(D7, Interview_Slots!$A$2:$B$5, 2, FALSE), "Allocated", "Not Allocated")</f>
        <v>Not Allocated</v>
      </c>
    </row>
    <row r="8">
      <c r="A8" s="6" t="s">
        <v>36</v>
      </c>
      <c r="B8" s="6" t="s">
        <v>37</v>
      </c>
      <c r="C8" s="7" t="s">
        <v>41</v>
      </c>
      <c r="D8" s="6" t="s">
        <v>25</v>
      </c>
      <c r="E8" s="9">
        <v>87.05</v>
      </c>
      <c r="F8" s="6" t="s">
        <v>963</v>
      </c>
      <c r="G8" s="6">
        <f>IFERROR(__xludf.DUMMYFUNCTION("RANK(E8, FILTER($E$2:$E1000, $D$2:$D1000=D8), 0)"),17.0)</f>
        <v>17</v>
      </c>
      <c r="H8" s="9" t="str">
        <f>IF(G8&lt;=VLOOKUP(D8, Interview_Slots!$A$2:$B$5, 2, FALSE), "Allocated", "Not Allocated")</f>
        <v>Allocated</v>
      </c>
    </row>
    <row r="9">
      <c r="A9" s="6" t="s">
        <v>39</v>
      </c>
      <c r="B9" s="6" t="s">
        <v>40</v>
      </c>
      <c r="C9" s="7" t="s">
        <v>41</v>
      </c>
      <c r="D9" s="6" t="s">
        <v>17</v>
      </c>
      <c r="E9" s="9">
        <v>84.4</v>
      </c>
      <c r="F9" s="6" t="s">
        <v>962</v>
      </c>
      <c r="G9" s="6">
        <f>IFERROR(__xludf.DUMMYFUNCTION("RANK(E9, FILTER($E$2:$E1000, $D$2:$D1000=D9), 0)"),29.0)</f>
        <v>29</v>
      </c>
      <c r="H9" s="9" t="str">
        <f>IF(G9&lt;=VLOOKUP(D9, Interview_Slots!$A$2:$B$5, 2, FALSE), "Allocated", "Not Allocated")</f>
        <v>Allocated</v>
      </c>
    </row>
    <row r="10">
      <c r="A10" s="6" t="s">
        <v>42</v>
      </c>
      <c r="B10" s="6" t="s">
        <v>43</v>
      </c>
      <c r="C10" s="7" t="s">
        <v>53</v>
      </c>
      <c r="D10" s="6" t="s">
        <v>32</v>
      </c>
      <c r="E10" s="9">
        <v>84.05</v>
      </c>
      <c r="F10" s="6" t="s">
        <v>962</v>
      </c>
      <c r="G10" s="6">
        <f>IFERROR(__xludf.DUMMYFUNCTION("RANK(E10, FILTER($E$2:$E1000, $D$2:$D1000=D10), 0)"),29.0)</f>
        <v>29</v>
      </c>
      <c r="H10" s="9" t="str">
        <f>IF(G10&lt;=VLOOKUP(D10, Interview_Slots!$A$2:$B$5, 2, FALSE), "Allocated", "Not Allocated")</f>
        <v>Allocated</v>
      </c>
    </row>
    <row r="11">
      <c r="A11" s="6" t="s">
        <v>45</v>
      </c>
      <c r="B11" s="6" t="s">
        <v>46</v>
      </c>
      <c r="C11" s="7" t="s">
        <v>53</v>
      </c>
      <c r="D11" s="6" t="s">
        <v>17</v>
      </c>
      <c r="E11" s="9">
        <v>79.44999999999999</v>
      </c>
      <c r="F11" s="6" t="s">
        <v>963</v>
      </c>
      <c r="G11" s="6">
        <f>IFERROR(__xludf.DUMMYFUNCTION("RANK(E11, FILTER($E$2:$E1000, $D$2:$D1000=D11), 0)"),53.0)</f>
        <v>53</v>
      </c>
      <c r="H11" s="9" t="str">
        <f>IF(G11&lt;=VLOOKUP(D11, Interview_Slots!$A$2:$B$5, 2, FALSE), "Allocated", "Not Allocated")</f>
        <v>Allocated</v>
      </c>
    </row>
    <row r="12">
      <c r="A12" s="6" t="s">
        <v>48</v>
      </c>
      <c r="B12" s="6" t="s">
        <v>49</v>
      </c>
      <c r="C12" s="7" t="s">
        <v>53</v>
      </c>
      <c r="D12" s="6" t="s">
        <v>21</v>
      </c>
      <c r="E12" s="9">
        <v>72.25</v>
      </c>
      <c r="F12" s="6" t="s">
        <v>962</v>
      </c>
      <c r="G12" s="6">
        <f>IFERROR(__xludf.DUMMYFUNCTION("RANK(E12, FILTER($E$2:$E1000, $D$2:$D1000=D12), 0)"),92.0)</f>
        <v>92</v>
      </c>
      <c r="H12" s="9" t="str">
        <f>IF(G12&lt;=VLOOKUP(D12, Interview_Slots!$A$2:$B$5, 2, FALSE), "Allocated", "Not Allocated")</f>
        <v>Not Allocated</v>
      </c>
    </row>
    <row r="13">
      <c r="A13" s="6" t="s">
        <v>51</v>
      </c>
      <c r="B13" s="6" t="s">
        <v>52</v>
      </c>
      <c r="C13" s="7" t="s">
        <v>53</v>
      </c>
      <c r="D13" s="6" t="s">
        <v>17</v>
      </c>
      <c r="E13" s="9">
        <v>81.75</v>
      </c>
      <c r="F13" s="6" t="s">
        <v>962</v>
      </c>
      <c r="G13" s="6">
        <f>IFERROR(__xludf.DUMMYFUNCTION("RANK(E13, FILTER($E$2:$E1000, $D$2:$D1000=D13), 0)"),41.0)</f>
        <v>41</v>
      </c>
      <c r="H13" s="9" t="str">
        <f>IF(G13&lt;=VLOOKUP(D13, Interview_Slots!$A$2:$B$5, 2, FALSE), "Allocated", "Not Allocated")</f>
        <v>Allocated</v>
      </c>
    </row>
    <row r="14">
      <c r="A14" s="6" t="s">
        <v>54</v>
      </c>
      <c r="B14" s="6" t="s">
        <v>55</v>
      </c>
      <c r="C14" s="7" t="s">
        <v>65</v>
      </c>
      <c r="D14" s="6" t="s">
        <v>32</v>
      </c>
      <c r="E14" s="9">
        <v>77.4</v>
      </c>
      <c r="F14" s="6" t="s">
        <v>963</v>
      </c>
      <c r="G14" s="6">
        <f>IFERROR(__xludf.DUMMYFUNCTION("RANK(E14, FILTER($E$2:$E1000, $D$2:$D1000=D14), 0)"),54.0)</f>
        <v>54</v>
      </c>
      <c r="H14" s="9" t="str">
        <f>IF(G14&lt;=VLOOKUP(D14, Interview_Slots!$A$2:$B$5, 2, FALSE), "Allocated", "Not Allocated")</f>
        <v>Allocated</v>
      </c>
    </row>
    <row r="15">
      <c r="A15" s="6" t="s">
        <v>57</v>
      </c>
      <c r="B15" s="6" t="s">
        <v>58</v>
      </c>
      <c r="C15" s="7" t="s">
        <v>65</v>
      </c>
      <c r="D15" s="6" t="s">
        <v>17</v>
      </c>
      <c r="E15" s="9">
        <v>78.85</v>
      </c>
      <c r="F15" s="6" t="s">
        <v>962</v>
      </c>
      <c r="G15" s="6">
        <f>IFERROR(__xludf.DUMMYFUNCTION("RANK(E15, FILTER($E$2:$E1000, $D$2:$D1000=D15), 0)"),57.0)</f>
        <v>57</v>
      </c>
      <c r="H15" s="9" t="str">
        <f>IF(G15&lt;=VLOOKUP(D15, Interview_Slots!$A$2:$B$5, 2, FALSE), "Allocated", "Not Allocated")</f>
        <v>Allocated</v>
      </c>
    </row>
    <row r="16">
      <c r="A16" s="6" t="s">
        <v>60</v>
      </c>
      <c r="B16" s="6" t="s">
        <v>61</v>
      </c>
      <c r="C16" s="7" t="s">
        <v>65</v>
      </c>
      <c r="D16" s="6" t="s">
        <v>21</v>
      </c>
      <c r="E16" s="9">
        <v>82.95</v>
      </c>
      <c r="F16" s="6" t="s">
        <v>963</v>
      </c>
      <c r="G16" s="6">
        <f>IFERROR(__xludf.DUMMYFUNCTION("RANK(E16, FILTER($E$2:$E1000, $D$2:$D1000=D16), 0)"),24.0)</f>
        <v>24</v>
      </c>
      <c r="H16" s="9" t="str">
        <f>IF(G16&lt;=VLOOKUP(D16, Interview_Slots!$A$2:$B$5, 2, FALSE), "Allocated", "Not Allocated")</f>
        <v>Allocated</v>
      </c>
    </row>
    <row r="17">
      <c r="A17" s="6" t="s">
        <v>63</v>
      </c>
      <c r="B17" s="6" t="s">
        <v>64</v>
      </c>
      <c r="C17" s="7" t="s">
        <v>65</v>
      </c>
      <c r="D17" s="6" t="s">
        <v>21</v>
      </c>
      <c r="E17" s="9">
        <v>80.35</v>
      </c>
      <c r="F17" s="6" t="s">
        <v>962</v>
      </c>
      <c r="G17" s="6">
        <f>IFERROR(__xludf.DUMMYFUNCTION("RANK(E17, FILTER($E$2:$E1000, $D$2:$D1000=D17), 0)"),44.0)</f>
        <v>44</v>
      </c>
      <c r="H17" s="9" t="str">
        <f>IF(G17&lt;=VLOOKUP(D17, Interview_Slots!$A$2:$B$5, 2, FALSE), "Allocated", "Not Allocated")</f>
        <v>Allocated</v>
      </c>
    </row>
    <row r="18">
      <c r="A18" s="6" t="s">
        <v>66</v>
      </c>
      <c r="B18" s="6" t="s">
        <v>67</v>
      </c>
      <c r="C18" s="7" t="s">
        <v>28</v>
      </c>
      <c r="D18" s="6" t="s">
        <v>21</v>
      </c>
      <c r="E18" s="9">
        <v>73.64999999999999</v>
      </c>
      <c r="F18" s="6" t="s">
        <v>963</v>
      </c>
      <c r="G18" s="6">
        <f>IFERROR(__xludf.DUMMYFUNCTION("RANK(E18, FILTER($E$2:$E1000, $D$2:$D1000=D18), 0)"),85.0)</f>
        <v>85</v>
      </c>
      <c r="H18" s="9" t="str">
        <f>IF(G18&lt;=VLOOKUP(D18, Interview_Slots!$A$2:$B$5, 2, FALSE), "Allocated", "Not Allocated")</f>
        <v>Not Allocated</v>
      </c>
    </row>
    <row r="19">
      <c r="A19" s="6" t="s">
        <v>68</v>
      </c>
      <c r="B19" s="6" t="s">
        <v>69</v>
      </c>
      <c r="C19" s="7" t="s">
        <v>28</v>
      </c>
      <c r="D19" s="6" t="s">
        <v>25</v>
      </c>
      <c r="E19" s="9">
        <v>82.3</v>
      </c>
      <c r="F19" s="6" t="s">
        <v>963</v>
      </c>
      <c r="G19" s="6">
        <f>IFERROR(__xludf.DUMMYFUNCTION("RANK(E19, FILTER($E$2:$E1000, $D$2:$D1000=D19), 0)"),36.0)</f>
        <v>36</v>
      </c>
      <c r="H19" s="9" t="str">
        <f>IF(G19&lt;=VLOOKUP(D19, Interview_Slots!$A$2:$B$5, 2, FALSE), "Allocated", "Not Allocated")</f>
        <v>Not Allocated</v>
      </c>
    </row>
    <row r="20">
      <c r="A20" s="6" t="s">
        <v>70</v>
      </c>
      <c r="B20" s="6" t="s">
        <v>71</v>
      </c>
      <c r="C20" s="7" t="s">
        <v>28</v>
      </c>
      <c r="D20" s="6" t="s">
        <v>25</v>
      </c>
      <c r="E20" s="9">
        <v>69.8</v>
      </c>
      <c r="F20" s="6" t="s">
        <v>963</v>
      </c>
      <c r="G20" s="6">
        <f>IFERROR(__xludf.DUMMYFUNCTION("RANK(E20, FILTER($E$2:$E1000, $D$2:$D1000=D20), 0)"),98.0)</f>
        <v>98</v>
      </c>
      <c r="H20" s="9" t="str">
        <f>IF(G20&lt;=VLOOKUP(D20, Interview_Slots!$A$2:$B$5, 2, FALSE), "Allocated", "Not Allocated")</f>
        <v>Not Allocated</v>
      </c>
    </row>
    <row r="21">
      <c r="A21" s="6" t="s">
        <v>72</v>
      </c>
      <c r="B21" s="6" t="s">
        <v>73</v>
      </c>
      <c r="C21" s="7" t="s">
        <v>28</v>
      </c>
      <c r="D21" s="6" t="s">
        <v>25</v>
      </c>
      <c r="E21" s="9">
        <v>73.25</v>
      </c>
      <c r="F21" s="6" t="s">
        <v>963</v>
      </c>
      <c r="G21" s="6">
        <f>IFERROR(__xludf.DUMMYFUNCTION("RANK(E21, FILTER($E$2:$E1000, $D$2:$D1000=D21), 0)"),81.0)</f>
        <v>81</v>
      </c>
      <c r="H21" s="9" t="str">
        <f>IF(G21&lt;=VLOOKUP(D21, Interview_Slots!$A$2:$B$5, 2, FALSE), "Allocated", "Not Allocated")</f>
        <v>Not Allocated</v>
      </c>
    </row>
    <row r="22">
      <c r="A22" s="6" t="s">
        <v>74</v>
      </c>
      <c r="B22" s="6" t="s">
        <v>75</v>
      </c>
      <c r="C22" s="7" t="s">
        <v>41</v>
      </c>
      <c r="D22" s="6" t="s">
        <v>17</v>
      </c>
      <c r="E22" s="9">
        <v>81.8</v>
      </c>
      <c r="F22" s="6" t="s">
        <v>962</v>
      </c>
      <c r="G22" s="6">
        <f>IFERROR(__xludf.DUMMYFUNCTION("RANK(E22, FILTER($E$2:$E1000, $D$2:$D1000=D22), 0)"),39.0)</f>
        <v>39</v>
      </c>
      <c r="H22" s="9" t="str">
        <f>IF(G22&lt;=VLOOKUP(D22, Interview_Slots!$A$2:$B$5, 2, FALSE), "Allocated", "Not Allocated")</f>
        <v>Allocated</v>
      </c>
    </row>
    <row r="23">
      <c r="A23" s="6" t="s">
        <v>76</v>
      </c>
      <c r="B23" s="6" t="s">
        <v>77</v>
      </c>
      <c r="C23" s="7" t="s">
        <v>41</v>
      </c>
      <c r="D23" s="6" t="s">
        <v>32</v>
      </c>
      <c r="E23" s="9">
        <v>86.7</v>
      </c>
      <c r="F23" s="6" t="s">
        <v>962</v>
      </c>
      <c r="G23" s="6">
        <f>IFERROR(__xludf.DUMMYFUNCTION("RANK(E23, FILTER($E$2:$E1000, $D$2:$D1000=D23), 0)"),16.0)</f>
        <v>16</v>
      </c>
      <c r="H23" s="9" t="str">
        <f>IF(G23&lt;=VLOOKUP(D23, Interview_Slots!$A$2:$B$5, 2, FALSE), "Allocated", "Not Allocated")</f>
        <v>Allocated</v>
      </c>
    </row>
    <row r="24">
      <c r="A24" s="6" t="s">
        <v>78</v>
      </c>
      <c r="B24" s="6" t="s">
        <v>79</v>
      </c>
      <c r="C24" s="7" t="s">
        <v>41</v>
      </c>
      <c r="D24" s="6" t="s">
        <v>17</v>
      </c>
      <c r="E24" s="9">
        <v>77.44999999999999</v>
      </c>
      <c r="F24" s="6" t="s">
        <v>962</v>
      </c>
      <c r="G24" s="6">
        <f>IFERROR(__xludf.DUMMYFUNCTION("RANK(E24, FILTER($E$2:$E1000, $D$2:$D1000=D24), 0)"),62.0)</f>
        <v>62</v>
      </c>
      <c r="H24" s="9" t="str">
        <f>IF(G24&lt;=VLOOKUP(D24, Interview_Slots!$A$2:$B$5, 2, FALSE), "Allocated", "Not Allocated")</f>
        <v>Allocated</v>
      </c>
    </row>
    <row r="25">
      <c r="A25" s="6" t="s">
        <v>80</v>
      </c>
      <c r="B25" s="6" t="s">
        <v>81</v>
      </c>
      <c r="C25" s="7" t="s">
        <v>41</v>
      </c>
      <c r="D25" s="6" t="s">
        <v>21</v>
      </c>
      <c r="E25" s="9">
        <v>82.25</v>
      </c>
      <c r="F25" s="6" t="s">
        <v>962</v>
      </c>
      <c r="G25" s="6">
        <f>IFERROR(__xludf.DUMMYFUNCTION("RANK(E25, FILTER($E$2:$E1000, $D$2:$D1000=D25), 0)"),28.0)</f>
        <v>28</v>
      </c>
      <c r="H25" s="9" t="str">
        <f>IF(G25&lt;=VLOOKUP(D25, Interview_Slots!$A$2:$B$5, 2, FALSE), "Allocated", "Not Allocated")</f>
        <v>Allocated</v>
      </c>
    </row>
    <row r="26">
      <c r="A26" s="6" t="s">
        <v>82</v>
      </c>
      <c r="B26" s="6" t="s">
        <v>83</v>
      </c>
      <c r="C26" s="7" t="s">
        <v>53</v>
      </c>
      <c r="D26" s="6" t="s">
        <v>32</v>
      </c>
      <c r="E26" s="9">
        <v>83.5</v>
      </c>
      <c r="F26" s="6" t="s">
        <v>962</v>
      </c>
      <c r="G26" s="6">
        <f>IFERROR(__xludf.DUMMYFUNCTION("RANK(E26, FILTER($E$2:$E1000, $D$2:$D1000=D26), 0)"),32.0)</f>
        <v>32</v>
      </c>
      <c r="H26" s="9" t="str">
        <f>IF(G26&lt;=VLOOKUP(D26, Interview_Slots!$A$2:$B$5, 2, FALSE), "Allocated", "Not Allocated")</f>
        <v>Allocated</v>
      </c>
    </row>
    <row r="27">
      <c r="A27" s="6" t="s">
        <v>84</v>
      </c>
      <c r="B27" s="6" t="s">
        <v>85</v>
      </c>
      <c r="C27" s="7" t="s">
        <v>53</v>
      </c>
      <c r="D27" s="6" t="s">
        <v>32</v>
      </c>
      <c r="E27" s="9">
        <v>78.9</v>
      </c>
      <c r="F27" s="6" t="s">
        <v>962</v>
      </c>
      <c r="G27" s="6">
        <f>IFERROR(__xludf.DUMMYFUNCTION("RANK(E27, FILTER($E$2:$E1000, $D$2:$D1000=D27), 0)"),46.0)</f>
        <v>46</v>
      </c>
      <c r="H27" s="9" t="str">
        <f>IF(G27&lt;=VLOOKUP(D27, Interview_Slots!$A$2:$B$5, 2, FALSE), "Allocated", "Not Allocated")</f>
        <v>Allocated</v>
      </c>
    </row>
    <row r="28">
      <c r="A28" s="6" t="s">
        <v>86</v>
      </c>
      <c r="B28" s="6" t="s">
        <v>87</v>
      </c>
      <c r="C28" s="7" t="s">
        <v>53</v>
      </c>
      <c r="D28" s="6" t="s">
        <v>17</v>
      </c>
      <c r="E28" s="9">
        <v>64.55</v>
      </c>
      <c r="F28" s="6" t="s">
        <v>962</v>
      </c>
      <c r="G28" s="6">
        <f>IFERROR(__xludf.DUMMYFUNCTION("RANK(E28, FILTER($E$2:$E1000, $D$2:$D1000=D28), 0)"),107.0)</f>
        <v>107</v>
      </c>
      <c r="H28" s="9" t="str">
        <f>IF(G28&lt;=VLOOKUP(D28, Interview_Slots!$A$2:$B$5, 2, FALSE), "Allocated", "Not Allocated")</f>
        <v>Not Allocated</v>
      </c>
    </row>
    <row r="29">
      <c r="A29" s="6" t="s">
        <v>88</v>
      </c>
      <c r="B29" s="6" t="s">
        <v>89</v>
      </c>
      <c r="C29" s="7" t="s">
        <v>53</v>
      </c>
      <c r="D29" s="6" t="s">
        <v>21</v>
      </c>
      <c r="E29" s="9">
        <v>86.65</v>
      </c>
      <c r="F29" s="6" t="s">
        <v>962</v>
      </c>
      <c r="G29" s="6">
        <f>IFERROR(__xludf.DUMMYFUNCTION("RANK(E29, FILTER($E$2:$E1000, $D$2:$D1000=D29), 0)"),15.0)</f>
        <v>15</v>
      </c>
      <c r="H29" s="9" t="str">
        <f>IF(G29&lt;=VLOOKUP(D29, Interview_Slots!$A$2:$B$5, 2, FALSE), "Allocated", "Not Allocated")</f>
        <v>Allocated</v>
      </c>
    </row>
    <row r="30">
      <c r="A30" s="6" t="s">
        <v>90</v>
      </c>
      <c r="B30" s="6" t="s">
        <v>91</v>
      </c>
      <c r="C30" s="7" t="s">
        <v>65</v>
      </c>
      <c r="D30" s="6" t="s">
        <v>21</v>
      </c>
      <c r="E30" s="9">
        <v>86.15</v>
      </c>
      <c r="F30" s="6" t="s">
        <v>963</v>
      </c>
      <c r="G30" s="6">
        <f>IFERROR(__xludf.DUMMYFUNCTION("RANK(E30, FILTER($E$2:$E1000, $D$2:$D1000=D30), 0)"),17.0)</f>
        <v>17</v>
      </c>
      <c r="H30" s="9" t="str">
        <f>IF(G30&lt;=VLOOKUP(D30, Interview_Slots!$A$2:$B$5, 2, FALSE), "Allocated", "Not Allocated")</f>
        <v>Allocated</v>
      </c>
    </row>
    <row r="31">
      <c r="A31" s="6" t="s">
        <v>92</v>
      </c>
      <c r="B31" s="6" t="s">
        <v>93</v>
      </c>
      <c r="C31" s="7" t="s">
        <v>65</v>
      </c>
      <c r="D31" s="6" t="s">
        <v>21</v>
      </c>
      <c r="E31" s="9">
        <v>89.4</v>
      </c>
      <c r="F31" s="6" t="s">
        <v>962</v>
      </c>
      <c r="G31" s="6">
        <f>IFERROR(__xludf.DUMMYFUNCTION("RANK(E31, FILTER($E$2:$E1000, $D$2:$D1000=D31), 0)"),9.0)</f>
        <v>9</v>
      </c>
      <c r="H31" s="9" t="str">
        <f>IF(G31&lt;=VLOOKUP(D31, Interview_Slots!$A$2:$B$5, 2, FALSE), "Allocated", "Not Allocated")</f>
        <v>Allocated</v>
      </c>
    </row>
    <row r="32">
      <c r="A32" s="6" t="s">
        <v>94</v>
      </c>
      <c r="B32" s="6" t="s">
        <v>95</v>
      </c>
      <c r="C32" s="7" t="s">
        <v>65</v>
      </c>
      <c r="D32" s="6" t="s">
        <v>25</v>
      </c>
      <c r="E32" s="9">
        <v>84.0</v>
      </c>
      <c r="F32" s="6" t="s">
        <v>962</v>
      </c>
      <c r="G32" s="6">
        <f>IFERROR(__xludf.DUMMYFUNCTION("RANK(E32, FILTER($E$2:$E1000, $D$2:$D1000=D32), 0)"),28.0)</f>
        <v>28</v>
      </c>
      <c r="H32" s="9" t="str">
        <f>IF(G32&lt;=VLOOKUP(D32, Interview_Slots!$A$2:$B$5, 2, FALSE), "Allocated", "Not Allocated")</f>
        <v>Allocated</v>
      </c>
    </row>
    <row r="33">
      <c r="A33" s="6" t="s">
        <v>96</v>
      </c>
      <c r="B33" s="6" t="s">
        <v>97</v>
      </c>
      <c r="C33" s="7" t="s">
        <v>28</v>
      </c>
      <c r="D33" s="6" t="s">
        <v>25</v>
      </c>
      <c r="E33" s="9">
        <v>87.8</v>
      </c>
      <c r="F33" s="6" t="s">
        <v>962</v>
      </c>
      <c r="G33" s="6">
        <f>IFERROR(__xludf.DUMMYFUNCTION("RANK(E33, FILTER($E$2:$E1000, $D$2:$D1000=D33), 0)"),12.0)</f>
        <v>12</v>
      </c>
      <c r="H33" s="9" t="str">
        <f>IF(G33&lt;=VLOOKUP(D33, Interview_Slots!$A$2:$B$5, 2, FALSE), "Allocated", "Not Allocated")</f>
        <v>Allocated</v>
      </c>
    </row>
    <row r="34">
      <c r="A34" s="6" t="s">
        <v>98</v>
      </c>
      <c r="B34" s="6" t="s">
        <v>99</v>
      </c>
      <c r="C34" s="7" t="s">
        <v>28</v>
      </c>
      <c r="D34" s="6" t="s">
        <v>25</v>
      </c>
      <c r="E34" s="9">
        <v>77.75</v>
      </c>
      <c r="F34" s="6" t="s">
        <v>962</v>
      </c>
      <c r="G34" s="6">
        <f>IFERROR(__xludf.DUMMYFUNCTION("RANK(E34, FILTER($E$2:$E1000, $D$2:$D1000=D34), 0)"),58.0)</f>
        <v>58</v>
      </c>
      <c r="H34" s="9" t="str">
        <f>IF(G34&lt;=VLOOKUP(D34, Interview_Slots!$A$2:$B$5, 2, FALSE), "Allocated", "Not Allocated")</f>
        <v>Not Allocated</v>
      </c>
    </row>
    <row r="35">
      <c r="A35" s="6" t="s">
        <v>100</v>
      </c>
      <c r="B35" s="6" t="s">
        <v>101</v>
      </c>
      <c r="C35" s="7" t="s">
        <v>28</v>
      </c>
      <c r="D35" s="6" t="s">
        <v>17</v>
      </c>
      <c r="E35" s="9">
        <v>81.25</v>
      </c>
      <c r="F35" s="6" t="s">
        <v>962</v>
      </c>
      <c r="G35" s="6">
        <f>IFERROR(__xludf.DUMMYFUNCTION("RANK(E35, FILTER($E$2:$E1000, $D$2:$D1000=D35), 0)"),44.0)</f>
        <v>44</v>
      </c>
      <c r="H35" s="9" t="str">
        <f>IF(G35&lt;=VLOOKUP(D35, Interview_Slots!$A$2:$B$5, 2, FALSE), "Allocated", "Not Allocated")</f>
        <v>Allocated</v>
      </c>
    </row>
    <row r="36">
      <c r="A36" s="6" t="s">
        <v>102</v>
      </c>
      <c r="B36" s="6" t="s">
        <v>103</v>
      </c>
      <c r="C36" s="7" t="s">
        <v>28</v>
      </c>
      <c r="D36" s="6" t="s">
        <v>32</v>
      </c>
      <c r="E36" s="9">
        <v>87.19999999999999</v>
      </c>
      <c r="F36" s="6" t="s">
        <v>962</v>
      </c>
      <c r="G36" s="6">
        <f>IFERROR(__xludf.DUMMYFUNCTION("RANK(E36, FILTER($E$2:$E1000, $D$2:$D1000=D36), 0)"),14.0)</f>
        <v>14</v>
      </c>
      <c r="H36" s="9" t="str">
        <f>IF(G36&lt;=VLOOKUP(D36, Interview_Slots!$A$2:$B$5, 2, FALSE), "Allocated", "Not Allocated")</f>
        <v>Allocated</v>
      </c>
    </row>
    <row r="37">
      <c r="A37" s="6" t="s">
        <v>104</v>
      </c>
      <c r="B37" s="6" t="s">
        <v>105</v>
      </c>
      <c r="C37" s="7" t="s">
        <v>41</v>
      </c>
      <c r="D37" s="6" t="s">
        <v>17</v>
      </c>
      <c r="E37" s="9">
        <v>81.2</v>
      </c>
      <c r="F37" s="6" t="s">
        <v>962</v>
      </c>
      <c r="G37" s="6">
        <f>IFERROR(__xludf.DUMMYFUNCTION("RANK(E37, FILTER($E$2:$E1000, $D$2:$D1000=D37), 0)"),45.0)</f>
        <v>45</v>
      </c>
      <c r="H37" s="9" t="str">
        <f>IF(G37&lt;=VLOOKUP(D37, Interview_Slots!$A$2:$B$5, 2, FALSE), "Allocated", "Not Allocated")</f>
        <v>Allocated</v>
      </c>
    </row>
    <row r="38">
      <c r="A38" s="6" t="s">
        <v>106</v>
      </c>
      <c r="B38" s="6" t="s">
        <v>107</v>
      </c>
      <c r="C38" s="7" t="s">
        <v>41</v>
      </c>
      <c r="D38" s="6" t="s">
        <v>21</v>
      </c>
      <c r="E38" s="9">
        <v>72.6</v>
      </c>
      <c r="F38" s="6" t="s">
        <v>962</v>
      </c>
      <c r="G38" s="6">
        <f>IFERROR(__xludf.DUMMYFUNCTION("RANK(E38, FILTER($E$2:$E1000, $D$2:$D1000=D38), 0)"),90.0)</f>
        <v>90</v>
      </c>
      <c r="H38" s="9" t="str">
        <f>IF(G38&lt;=VLOOKUP(D38, Interview_Slots!$A$2:$B$5, 2, FALSE), "Allocated", "Not Allocated")</f>
        <v>Not Allocated</v>
      </c>
    </row>
    <row r="39">
      <c r="A39" s="6" t="s">
        <v>108</v>
      </c>
      <c r="B39" s="6" t="s">
        <v>109</v>
      </c>
      <c r="C39" s="7" t="s">
        <v>41</v>
      </c>
      <c r="D39" s="6" t="s">
        <v>32</v>
      </c>
      <c r="E39" s="9">
        <v>67.94999999999999</v>
      </c>
      <c r="F39" s="6" t="s">
        <v>962</v>
      </c>
      <c r="G39" s="6">
        <f>IFERROR(__xludf.DUMMYFUNCTION("RANK(E39, FILTER($E$2:$E1000, $D$2:$D1000=D39), 0)"),96.0)</f>
        <v>96</v>
      </c>
      <c r="H39" s="9" t="str">
        <f>IF(G39&lt;=VLOOKUP(D39, Interview_Slots!$A$2:$B$5, 2, FALSE), "Allocated", "Not Allocated")</f>
        <v>Not Allocated</v>
      </c>
    </row>
    <row r="40">
      <c r="A40" s="6" t="s">
        <v>110</v>
      </c>
      <c r="B40" s="6" t="s">
        <v>111</v>
      </c>
      <c r="C40" s="7" t="s">
        <v>41</v>
      </c>
      <c r="D40" s="6" t="s">
        <v>32</v>
      </c>
      <c r="E40" s="9">
        <v>83.05</v>
      </c>
      <c r="F40" s="6" t="s">
        <v>962</v>
      </c>
      <c r="G40" s="6">
        <f>IFERROR(__xludf.DUMMYFUNCTION("RANK(E40, FILTER($E$2:$E1000, $D$2:$D1000=D40), 0)"),35.0)</f>
        <v>35</v>
      </c>
      <c r="H40" s="9" t="str">
        <f>IF(G40&lt;=VLOOKUP(D40, Interview_Slots!$A$2:$B$5, 2, FALSE), "Allocated", "Not Allocated")</f>
        <v>Allocated</v>
      </c>
    </row>
    <row r="41">
      <c r="A41" s="6" t="s">
        <v>112</v>
      </c>
      <c r="B41" s="6" t="s">
        <v>113</v>
      </c>
      <c r="C41" s="7" t="s">
        <v>53</v>
      </c>
      <c r="D41" s="6" t="s">
        <v>32</v>
      </c>
      <c r="E41" s="9">
        <v>90.1</v>
      </c>
      <c r="F41" s="6" t="s">
        <v>962</v>
      </c>
      <c r="G41" s="6">
        <f>IFERROR(__xludf.DUMMYFUNCTION("RANK(E41, FILTER($E$2:$E1000, $D$2:$D1000=D41), 0)"),7.0)</f>
        <v>7</v>
      </c>
      <c r="H41" s="9" t="str">
        <f>IF(G41&lt;=VLOOKUP(D41, Interview_Slots!$A$2:$B$5, 2, FALSE), "Allocated", "Not Allocated")</f>
        <v>Allocated</v>
      </c>
    </row>
    <row r="42">
      <c r="A42" s="6" t="s">
        <v>114</v>
      </c>
      <c r="B42" s="6" t="s">
        <v>115</v>
      </c>
      <c r="C42" s="7" t="s">
        <v>53</v>
      </c>
      <c r="D42" s="6" t="s">
        <v>21</v>
      </c>
      <c r="E42" s="9">
        <v>78.6</v>
      </c>
      <c r="F42" s="6" t="s">
        <v>963</v>
      </c>
      <c r="G42" s="6">
        <f>IFERROR(__xludf.DUMMYFUNCTION("RANK(E42, FILTER($E$2:$E1000, $D$2:$D1000=D42), 0)"),54.0)</f>
        <v>54</v>
      </c>
      <c r="H42" s="9" t="str">
        <f>IF(G42&lt;=VLOOKUP(D42, Interview_Slots!$A$2:$B$5, 2, FALSE), "Allocated", "Not Allocated")</f>
        <v>Not Allocated</v>
      </c>
    </row>
    <row r="43">
      <c r="A43" s="6" t="s">
        <v>116</v>
      </c>
      <c r="B43" s="6" t="s">
        <v>117</v>
      </c>
      <c r="C43" s="7" t="s">
        <v>53</v>
      </c>
      <c r="D43" s="6" t="s">
        <v>21</v>
      </c>
      <c r="E43" s="9">
        <v>74.5</v>
      </c>
      <c r="F43" s="6" t="s">
        <v>963</v>
      </c>
      <c r="G43" s="6">
        <f>IFERROR(__xludf.DUMMYFUNCTION("RANK(E43, FILTER($E$2:$E1000, $D$2:$D1000=D43), 0)"),78.0)</f>
        <v>78</v>
      </c>
      <c r="H43" s="9" t="str">
        <f>IF(G43&lt;=VLOOKUP(D43, Interview_Slots!$A$2:$B$5, 2, FALSE), "Allocated", "Not Allocated")</f>
        <v>Not Allocated</v>
      </c>
    </row>
    <row r="44">
      <c r="A44" s="6" t="s">
        <v>118</v>
      </c>
      <c r="B44" s="6" t="s">
        <v>119</v>
      </c>
      <c r="C44" s="7" t="s">
        <v>53</v>
      </c>
      <c r="D44" s="6" t="s">
        <v>21</v>
      </c>
      <c r="E44" s="9">
        <v>63.4</v>
      </c>
      <c r="F44" s="6" t="s">
        <v>963</v>
      </c>
      <c r="G44" s="6">
        <f>IFERROR(__xludf.DUMMYFUNCTION("RANK(E44, FILTER($E$2:$E1000, $D$2:$D1000=D44), 0)"),133.0)</f>
        <v>133</v>
      </c>
      <c r="H44" s="9" t="str">
        <f>IF(G44&lt;=VLOOKUP(D44, Interview_Slots!$A$2:$B$5, 2, FALSE), "Allocated", "Not Allocated")</f>
        <v>Not Allocated</v>
      </c>
    </row>
    <row r="45">
      <c r="A45" s="6" t="s">
        <v>120</v>
      </c>
      <c r="B45" s="6" t="s">
        <v>121</v>
      </c>
      <c r="C45" s="7" t="s">
        <v>65</v>
      </c>
      <c r="D45" s="6" t="s">
        <v>25</v>
      </c>
      <c r="E45" s="9">
        <v>76.15</v>
      </c>
      <c r="F45" s="6" t="s">
        <v>963</v>
      </c>
      <c r="G45" s="6">
        <f>IFERROR(__xludf.DUMMYFUNCTION("RANK(E45, FILTER($E$2:$E1000, $D$2:$D1000=D45), 0)"),68.0)</f>
        <v>68</v>
      </c>
      <c r="H45" s="9" t="str">
        <f>IF(G45&lt;=VLOOKUP(D45, Interview_Slots!$A$2:$B$5, 2, FALSE), "Allocated", "Not Allocated")</f>
        <v>Not Allocated</v>
      </c>
    </row>
    <row r="46">
      <c r="A46" s="6" t="s">
        <v>122</v>
      </c>
      <c r="B46" s="6" t="s">
        <v>123</v>
      </c>
      <c r="C46" s="7" t="s">
        <v>65</v>
      </c>
      <c r="D46" s="6" t="s">
        <v>25</v>
      </c>
      <c r="E46" s="9">
        <v>78.4</v>
      </c>
      <c r="F46" s="6" t="s">
        <v>962</v>
      </c>
      <c r="G46" s="6">
        <f>IFERROR(__xludf.DUMMYFUNCTION("RANK(E46, FILTER($E$2:$E1000, $D$2:$D1000=D46), 0)"),54.0)</f>
        <v>54</v>
      </c>
      <c r="H46" s="9" t="str">
        <f>IF(G46&lt;=VLOOKUP(D46, Interview_Slots!$A$2:$B$5, 2, FALSE), "Allocated", "Not Allocated")</f>
        <v>Not Allocated</v>
      </c>
    </row>
    <row r="47">
      <c r="A47" s="6" t="s">
        <v>124</v>
      </c>
      <c r="B47" s="6" t="s">
        <v>125</v>
      </c>
      <c r="C47" s="7" t="s">
        <v>65</v>
      </c>
      <c r="D47" s="6" t="s">
        <v>25</v>
      </c>
      <c r="E47" s="9">
        <v>75.25</v>
      </c>
      <c r="F47" s="6" t="s">
        <v>962</v>
      </c>
      <c r="G47" s="6">
        <f>IFERROR(__xludf.DUMMYFUNCTION("RANK(E47, FILTER($E$2:$E1000, $D$2:$D1000=D47), 0)"),73.0)</f>
        <v>73</v>
      </c>
      <c r="H47" s="9" t="str">
        <f>IF(G47&lt;=VLOOKUP(D47, Interview_Slots!$A$2:$B$5, 2, FALSE), "Allocated", "Not Allocated")</f>
        <v>Not Allocated</v>
      </c>
    </row>
    <row r="48">
      <c r="A48" s="6" t="s">
        <v>126</v>
      </c>
      <c r="B48" s="6" t="s">
        <v>127</v>
      </c>
      <c r="C48" s="7" t="s">
        <v>65</v>
      </c>
      <c r="D48" s="6" t="s">
        <v>17</v>
      </c>
      <c r="E48" s="9">
        <v>75.89999999999999</v>
      </c>
      <c r="F48" s="6" t="s">
        <v>962</v>
      </c>
      <c r="G48" s="6">
        <f>IFERROR(__xludf.DUMMYFUNCTION("RANK(E48, FILTER($E$2:$E1000, $D$2:$D1000=D48), 0)"),76.0)</f>
        <v>76</v>
      </c>
      <c r="H48" s="9" t="str">
        <f>IF(G48&lt;=VLOOKUP(D48, Interview_Slots!$A$2:$B$5, 2, FALSE), "Allocated", "Not Allocated")</f>
        <v>Allocated</v>
      </c>
    </row>
    <row r="49">
      <c r="A49" s="6" t="s">
        <v>128</v>
      </c>
      <c r="B49" s="6" t="s">
        <v>129</v>
      </c>
      <c r="C49" s="7" t="s">
        <v>28</v>
      </c>
      <c r="D49" s="6" t="s">
        <v>32</v>
      </c>
      <c r="E49" s="9">
        <v>72.5</v>
      </c>
      <c r="F49" s="6" t="s">
        <v>962</v>
      </c>
      <c r="G49" s="6">
        <f>IFERROR(__xludf.DUMMYFUNCTION("RANK(E49, FILTER($E$2:$E1000, $D$2:$D1000=D49), 0)"),77.0)</f>
        <v>77</v>
      </c>
      <c r="H49" s="9" t="str">
        <f>IF(G49&lt;=VLOOKUP(D49, Interview_Slots!$A$2:$B$5, 2, FALSE), "Allocated", "Not Allocated")</f>
        <v>Not Allocated</v>
      </c>
    </row>
    <row r="50">
      <c r="A50" s="6" t="s">
        <v>130</v>
      </c>
      <c r="B50" s="6" t="s">
        <v>131</v>
      </c>
      <c r="C50" s="7" t="s">
        <v>28</v>
      </c>
      <c r="D50" s="6" t="s">
        <v>17</v>
      </c>
      <c r="E50" s="9">
        <v>90.15</v>
      </c>
      <c r="F50" s="6" t="s">
        <v>962</v>
      </c>
      <c r="G50" s="6">
        <f>IFERROR(__xludf.DUMMYFUNCTION("RANK(E50, FILTER($E$2:$E1000, $D$2:$D1000=D50), 0)"),8.0)</f>
        <v>8</v>
      </c>
      <c r="H50" s="9" t="str">
        <f>IF(G50&lt;=VLOOKUP(D50, Interview_Slots!$A$2:$B$5, 2, FALSE), "Allocated", "Not Allocated")</f>
        <v>Allocated</v>
      </c>
    </row>
    <row r="51">
      <c r="A51" s="6" t="s">
        <v>132</v>
      </c>
      <c r="B51" s="6" t="s">
        <v>133</v>
      </c>
      <c r="C51" s="7" t="s">
        <v>28</v>
      </c>
      <c r="D51" s="6" t="s">
        <v>21</v>
      </c>
      <c r="E51" s="9">
        <v>80.85</v>
      </c>
      <c r="F51" s="6" t="s">
        <v>962</v>
      </c>
      <c r="G51" s="6">
        <f>IFERROR(__xludf.DUMMYFUNCTION("RANK(E51, FILTER($E$2:$E1000, $D$2:$D1000=D51), 0)"),37.0)</f>
        <v>37</v>
      </c>
      <c r="H51" s="9" t="str">
        <f>IF(G51&lt;=VLOOKUP(D51, Interview_Slots!$A$2:$B$5, 2, FALSE), "Allocated", "Not Allocated")</f>
        <v>Allocated</v>
      </c>
    </row>
    <row r="52">
      <c r="A52" s="6" t="s">
        <v>134</v>
      </c>
      <c r="B52" s="6" t="s">
        <v>135</v>
      </c>
      <c r="C52" s="7" t="s">
        <v>28</v>
      </c>
      <c r="D52" s="6" t="s">
        <v>32</v>
      </c>
      <c r="E52" s="9">
        <v>91.9</v>
      </c>
      <c r="F52" s="6" t="s">
        <v>962</v>
      </c>
      <c r="G52" s="6">
        <f>IFERROR(__xludf.DUMMYFUNCTION("RANK(E52, FILTER($E$2:$E1000, $D$2:$D1000=D52), 0)"),1.0)</f>
        <v>1</v>
      </c>
      <c r="H52" s="9" t="str">
        <f>IF(G52&lt;=VLOOKUP(D52, Interview_Slots!$A$2:$B$5, 2, FALSE), "Allocated", "Not Allocated")</f>
        <v>Allocated</v>
      </c>
    </row>
    <row r="53">
      <c r="A53" s="6" t="s">
        <v>136</v>
      </c>
      <c r="B53" s="6" t="s">
        <v>137</v>
      </c>
      <c r="C53" s="7" t="s">
        <v>41</v>
      </c>
      <c r="D53" s="6" t="s">
        <v>32</v>
      </c>
      <c r="E53" s="9">
        <v>78.3</v>
      </c>
      <c r="F53" s="6" t="s">
        <v>962</v>
      </c>
      <c r="G53" s="6">
        <f>IFERROR(__xludf.DUMMYFUNCTION("RANK(E53, FILTER($E$2:$E1000, $D$2:$D1000=D53), 0)"),49.0)</f>
        <v>49</v>
      </c>
      <c r="H53" s="9" t="str">
        <f>IF(G53&lt;=VLOOKUP(D53, Interview_Slots!$A$2:$B$5, 2, FALSE), "Allocated", "Not Allocated")</f>
        <v>Allocated</v>
      </c>
    </row>
    <row r="54">
      <c r="A54" s="6" t="s">
        <v>138</v>
      </c>
      <c r="B54" s="6" t="s">
        <v>139</v>
      </c>
      <c r="C54" s="7" t="s">
        <v>41</v>
      </c>
      <c r="D54" s="6" t="s">
        <v>17</v>
      </c>
      <c r="E54" s="9">
        <v>77.05</v>
      </c>
      <c r="F54" s="6" t="s">
        <v>962</v>
      </c>
      <c r="G54" s="6">
        <f>IFERROR(__xludf.DUMMYFUNCTION("RANK(E54, FILTER($E$2:$E1000, $D$2:$D1000=D54), 0)"),67.0)</f>
        <v>67</v>
      </c>
      <c r="H54" s="9" t="str">
        <f>IF(G54&lt;=VLOOKUP(D54, Interview_Slots!$A$2:$B$5, 2, FALSE), "Allocated", "Not Allocated")</f>
        <v>Allocated</v>
      </c>
    </row>
    <row r="55">
      <c r="A55" s="6" t="s">
        <v>140</v>
      </c>
      <c r="B55" s="6" t="s">
        <v>141</v>
      </c>
      <c r="C55" s="7" t="s">
        <v>41</v>
      </c>
      <c r="D55" s="6" t="s">
        <v>21</v>
      </c>
      <c r="E55" s="9">
        <v>80.85</v>
      </c>
      <c r="F55" s="6" t="s">
        <v>963</v>
      </c>
      <c r="G55" s="6">
        <f>IFERROR(__xludf.DUMMYFUNCTION("RANK(E55, FILTER($E$2:$E1000, $D$2:$D1000=D55), 0)"),37.0)</f>
        <v>37</v>
      </c>
      <c r="H55" s="9" t="str">
        <f>IF(G55&lt;=VLOOKUP(D55, Interview_Slots!$A$2:$B$5, 2, FALSE), "Allocated", "Not Allocated")</f>
        <v>Allocated</v>
      </c>
    </row>
    <row r="56">
      <c r="A56" s="6" t="s">
        <v>142</v>
      </c>
      <c r="B56" s="6" t="s">
        <v>143</v>
      </c>
      <c r="C56" s="7" t="s">
        <v>41</v>
      </c>
      <c r="D56" s="6" t="s">
        <v>21</v>
      </c>
      <c r="E56" s="9">
        <v>65.9</v>
      </c>
      <c r="F56" s="6" t="s">
        <v>963</v>
      </c>
      <c r="G56" s="6">
        <f>IFERROR(__xludf.DUMMYFUNCTION("RANK(E56, FILTER($E$2:$E1000, $D$2:$D1000=D56), 0)"),123.0)</f>
        <v>123</v>
      </c>
      <c r="H56" s="9" t="str">
        <f>IF(G56&lt;=VLOOKUP(D56, Interview_Slots!$A$2:$B$5, 2, FALSE), "Allocated", "Not Allocated")</f>
        <v>Not Allocated</v>
      </c>
    </row>
    <row r="57">
      <c r="A57" s="6" t="s">
        <v>144</v>
      </c>
      <c r="B57" s="6" t="s">
        <v>145</v>
      </c>
      <c r="C57" s="7" t="s">
        <v>53</v>
      </c>
      <c r="D57" s="6" t="s">
        <v>21</v>
      </c>
      <c r="E57" s="9">
        <v>69.75</v>
      </c>
      <c r="F57" s="6" t="s">
        <v>963</v>
      </c>
      <c r="G57" s="6">
        <f>IFERROR(__xludf.DUMMYFUNCTION("RANK(E57, FILTER($E$2:$E1000, $D$2:$D1000=D57), 0)"),104.0)</f>
        <v>104</v>
      </c>
      <c r="H57" s="9" t="str">
        <f>IF(G57&lt;=VLOOKUP(D57, Interview_Slots!$A$2:$B$5, 2, FALSE), "Allocated", "Not Allocated")</f>
        <v>Not Allocated</v>
      </c>
    </row>
    <row r="58">
      <c r="A58" s="6" t="s">
        <v>146</v>
      </c>
      <c r="B58" s="6" t="s">
        <v>147</v>
      </c>
      <c r="C58" s="7" t="s">
        <v>53</v>
      </c>
      <c r="D58" s="6" t="s">
        <v>25</v>
      </c>
      <c r="E58" s="9">
        <v>81.15</v>
      </c>
      <c r="F58" s="6" t="s">
        <v>962</v>
      </c>
      <c r="G58" s="6">
        <f>IFERROR(__xludf.DUMMYFUNCTION("RANK(E58, FILTER($E$2:$E1000, $D$2:$D1000=D58), 0)"),42.0)</f>
        <v>42</v>
      </c>
      <c r="H58" s="9" t="str">
        <f>IF(G58&lt;=VLOOKUP(D58, Interview_Slots!$A$2:$B$5, 2, FALSE), "Allocated", "Not Allocated")</f>
        <v>Not Allocated</v>
      </c>
    </row>
    <row r="59">
      <c r="A59" s="6" t="s">
        <v>148</v>
      </c>
      <c r="B59" s="6" t="s">
        <v>149</v>
      </c>
      <c r="C59" s="7" t="s">
        <v>53</v>
      </c>
      <c r="D59" s="6" t="s">
        <v>25</v>
      </c>
      <c r="E59" s="9">
        <v>75.85</v>
      </c>
      <c r="F59" s="6" t="s">
        <v>963</v>
      </c>
      <c r="G59" s="6">
        <f>IFERROR(__xludf.DUMMYFUNCTION("RANK(E59, FILTER($E$2:$E1000, $D$2:$D1000=D59), 0)"),70.0)</f>
        <v>70</v>
      </c>
      <c r="H59" s="9" t="str">
        <f>IF(G59&lt;=VLOOKUP(D59, Interview_Slots!$A$2:$B$5, 2, FALSE), "Allocated", "Not Allocated")</f>
        <v>Not Allocated</v>
      </c>
    </row>
    <row r="60">
      <c r="A60" s="6" t="s">
        <v>150</v>
      </c>
      <c r="B60" s="6" t="s">
        <v>151</v>
      </c>
      <c r="C60" s="7" t="s">
        <v>53</v>
      </c>
      <c r="D60" s="6" t="s">
        <v>25</v>
      </c>
      <c r="E60" s="9">
        <v>85.25</v>
      </c>
      <c r="F60" s="6" t="s">
        <v>963</v>
      </c>
      <c r="G60" s="6">
        <f>IFERROR(__xludf.DUMMYFUNCTION("RANK(E60, FILTER($E$2:$E1000, $D$2:$D1000=D60), 0)"),24.0)</f>
        <v>24</v>
      </c>
      <c r="H60" s="9" t="str">
        <f>IF(G60&lt;=VLOOKUP(D60, Interview_Slots!$A$2:$B$5, 2, FALSE), "Allocated", "Not Allocated")</f>
        <v>Allocated</v>
      </c>
    </row>
    <row r="61">
      <c r="A61" s="6" t="s">
        <v>152</v>
      </c>
      <c r="B61" s="6" t="s">
        <v>153</v>
      </c>
      <c r="C61" s="7" t="s">
        <v>65</v>
      </c>
      <c r="D61" s="6" t="s">
        <v>17</v>
      </c>
      <c r="E61" s="9">
        <v>76.0</v>
      </c>
      <c r="F61" s="6" t="s">
        <v>962</v>
      </c>
      <c r="G61" s="6">
        <f>IFERROR(__xludf.DUMMYFUNCTION("RANK(E61, FILTER($E$2:$E1000, $D$2:$D1000=D61), 0)"),74.0)</f>
        <v>74</v>
      </c>
      <c r="H61" s="9" t="str">
        <f>IF(G61&lt;=VLOOKUP(D61, Interview_Slots!$A$2:$B$5, 2, FALSE), "Allocated", "Not Allocated")</f>
        <v>Allocated</v>
      </c>
    </row>
    <row r="62">
      <c r="A62" s="6" t="s">
        <v>154</v>
      </c>
      <c r="B62" s="6" t="s">
        <v>155</v>
      </c>
      <c r="C62" s="7" t="s">
        <v>65</v>
      </c>
      <c r="D62" s="6" t="s">
        <v>32</v>
      </c>
      <c r="E62" s="9">
        <v>64.94999999999999</v>
      </c>
      <c r="F62" s="6" t="s">
        <v>963</v>
      </c>
      <c r="G62" s="6">
        <f>IFERROR(__xludf.DUMMYFUNCTION("RANK(E62, FILTER($E$2:$E1000, $D$2:$D1000=D62), 0)"),103.0)</f>
        <v>103</v>
      </c>
      <c r="H62" s="9" t="str">
        <f>IF(G62&lt;=VLOOKUP(D62, Interview_Slots!$A$2:$B$5, 2, FALSE), "Allocated", "Not Allocated")</f>
        <v>Not Allocated</v>
      </c>
    </row>
    <row r="63">
      <c r="A63" s="6" t="s">
        <v>156</v>
      </c>
      <c r="B63" s="6" t="s">
        <v>157</v>
      </c>
      <c r="C63" s="7" t="s">
        <v>65</v>
      </c>
      <c r="D63" s="6" t="s">
        <v>17</v>
      </c>
      <c r="E63" s="9">
        <v>72.85</v>
      </c>
      <c r="F63" s="6" t="s">
        <v>962</v>
      </c>
      <c r="G63" s="6">
        <f>IFERROR(__xludf.DUMMYFUNCTION("RANK(E63, FILTER($E$2:$E1000, $D$2:$D1000=D63), 0)"),88.0)</f>
        <v>88</v>
      </c>
      <c r="H63" s="9" t="str">
        <f>IF(G63&lt;=VLOOKUP(D63, Interview_Slots!$A$2:$B$5, 2, FALSE), "Allocated", "Not Allocated")</f>
        <v>Not Allocated</v>
      </c>
    </row>
    <row r="64">
      <c r="A64" s="6" t="s">
        <v>158</v>
      </c>
      <c r="B64" s="6" t="s">
        <v>159</v>
      </c>
      <c r="C64" s="7" t="s">
        <v>28</v>
      </c>
      <c r="D64" s="6" t="s">
        <v>25</v>
      </c>
      <c r="E64" s="9">
        <v>89.75</v>
      </c>
      <c r="F64" s="6" t="s">
        <v>962</v>
      </c>
      <c r="G64" s="6">
        <f>IFERROR(__xludf.DUMMYFUNCTION("RANK(E64, FILTER($E$2:$E1000, $D$2:$D1000=D64), 0)"),8.0)</f>
        <v>8</v>
      </c>
      <c r="H64" s="9" t="str">
        <f>IF(G64&lt;=VLOOKUP(D64, Interview_Slots!$A$2:$B$5, 2, FALSE), "Allocated", "Not Allocated")</f>
        <v>Allocated</v>
      </c>
    </row>
    <row r="65">
      <c r="A65" s="6" t="s">
        <v>160</v>
      </c>
      <c r="B65" s="6" t="s">
        <v>161</v>
      </c>
      <c r="C65" s="7" t="s">
        <v>28</v>
      </c>
      <c r="D65" s="6" t="s">
        <v>32</v>
      </c>
      <c r="E65" s="9">
        <v>83.65</v>
      </c>
      <c r="F65" s="6" t="s">
        <v>962</v>
      </c>
      <c r="G65" s="6">
        <f>IFERROR(__xludf.DUMMYFUNCTION("RANK(E65, FILTER($E$2:$E1000, $D$2:$D1000=D65), 0)"),31.0)</f>
        <v>31</v>
      </c>
      <c r="H65" s="9" t="str">
        <f>IF(G65&lt;=VLOOKUP(D65, Interview_Slots!$A$2:$B$5, 2, FALSE), "Allocated", "Not Allocated")</f>
        <v>Allocated</v>
      </c>
    </row>
    <row r="66">
      <c r="A66" s="6" t="s">
        <v>162</v>
      </c>
      <c r="B66" s="6" t="s">
        <v>163</v>
      </c>
      <c r="C66" s="7" t="s">
        <v>28</v>
      </c>
      <c r="D66" s="6" t="s">
        <v>32</v>
      </c>
      <c r="E66" s="9">
        <v>87.6</v>
      </c>
      <c r="F66" s="6" t="s">
        <v>962</v>
      </c>
      <c r="G66" s="6">
        <f>IFERROR(__xludf.DUMMYFUNCTION("RANK(E66, FILTER($E$2:$E1000, $D$2:$D1000=D66), 0)"),12.0)</f>
        <v>12</v>
      </c>
      <c r="H66" s="9" t="str">
        <f>IF(G66&lt;=VLOOKUP(D66, Interview_Slots!$A$2:$B$5, 2, FALSE), "Allocated", "Not Allocated")</f>
        <v>Allocated</v>
      </c>
    </row>
    <row r="67">
      <c r="A67" s="6" t="s">
        <v>164</v>
      </c>
      <c r="B67" s="6" t="s">
        <v>165</v>
      </c>
      <c r="C67" s="7" t="s">
        <v>28</v>
      </c>
      <c r="D67" s="6" t="s">
        <v>17</v>
      </c>
      <c r="E67" s="9">
        <v>77.3</v>
      </c>
      <c r="F67" s="6" t="s">
        <v>962</v>
      </c>
      <c r="G67" s="6">
        <f>IFERROR(__xludf.DUMMYFUNCTION("RANK(E67, FILTER($E$2:$E1000, $D$2:$D1000=D67), 0)"),63.0)</f>
        <v>63</v>
      </c>
      <c r="H67" s="9" t="str">
        <f>IF(G67&lt;=VLOOKUP(D67, Interview_Slots!$A$2:$B$5, 2, FALSE), "Allocated", "Not Allocated")</f>
        <v>Allocated</v>
      </c>
    </row>
    <row r="68">
      <c r="A68" s="6" t="s">
        <v>166</v>
      </c>
      <c r="B68" s="6" t="s">
        <v>167</v>
      </c>
      <c r="C68" s="7" t="s">
        <v>41</v>
      </c>
      <c r="D68" s="6" t="s">
        <v>21</v>
      </c>
      <c r="E68" s="9">
        <v>70.8</v>
      </c>
      <c r="F68" s="6" t="s">
        <v>962</v>
      </c>
      <c r="G68" s="6">
        <f>IFERROR(__xludf.DUMMYFUNCTION("RANK(E68, FILTER($E$2:$E1000, $D$2:$D1000=D68), 0)"),100.0)</f>
        <v>100</v>
      </c>
      <c r="H68" s="9" t="str">
        <f>IF(G68&lt;=VLOOKUP(D68, Interview_Slots!$A$2:$B$5, 2, FALSE), "Allocated", "Not Allocated")</f>
        <v>Not Allocated</v>
      </c>
    </row>
    <row r="69">
      <c r="A69" s="6" t="s">
        <v>168</v>
      </c>
      <c r="B69" s="6" t="s">
        <v>169</v>
      </c>
      <c r="C69" s="7" t="s">
        <v>41</v>
      </c>
      <c r="D69" s="6" t="s">
        <v>21</v>
      </c>
      <c r="E69" s="9">
        <v>66.15</v>
      </c>
      <c r="F69" s="6" t="s">
        <v>963</v>
      </c>
      <c r="G69" s="6">
        <f>IFERROR(__xludf.DUMMYFUNCTION("RANK(E69, FILTER($E$2:$E1000, $D$2:$D1000=D69), 0)"),122.0)</f>
        <v>122</v>
      </c>
      <c r="H69" s="9" t="str">
        <f>IF(G69&lt;=VLOOKUP(D69, Interview_Slots!$A$2:$B$5, 2, FALSE), "Allocated", "Not Allocated")</f>
        <v>Not Allocated</v>
      </c>
    </row>
    <row r="70">
      <c r="A70" s="6" t="s">
        <v>170</v>
      </c>
      <c r="B70" s="6" t="s">
        <v>171</v>
      </c>
      <c r="C70" s="7" t="s">
        <v>41</v>
      </c>
      <c r="D70" s="6" t="s">
        <v>21</v>
      </c>
      <c r="E70" s="9">
        <v>80.1</v>
      </c>
      <c r="F70" s="6" t="s">
        <v>962</v>
      </c>
      <c r="G70" s="6">
        <f>IFERROR(__xludf.DUMMYFUNCTION("RANK(E70, FILTER($E$2:$E1000, $D$2:$D1000=D70), 0)"),46.0)</f>
        <v>46</v>
      </c>
      <c r="H70" s="9" t="str">
        <f>IF(G70&lt;=VLOOKUP(D70, Interview_Slots!$A$2:$B$5, 2, FALSE), "Allocated", "Not Allocated")</f>
        <v>Not Allocated</v>
      </c>
    </row>
    <row r="71">
      <c r="A71" s="6" t="s">
        <v>172</v>
      </c>
      <c r="B71" s="6" t="s">
        <v>173</v>
      </c>
      <c r="C71" s="7" t="s">
        <v>41</v>
      </c>
      <c r="D71" s="6" t="s">
        <v>25</v>
      </c>
      <c r="E71" s="9">
        <v>70.9</v>
      </c>
      <c r="F71" s="6" t="s">
        <v>963</v>
      </c>
      <c r="G71" s="6">
        <f>IFERROR(__xludf.DUMMYFUNCTION("RANK(E71, FILTER($E$2:$E1000, $D$2:$D1000=D71), 0)"),92.0)</f>
        <v>92</v>
      </c>
      <c r="H71" s="9" t="str">
        <f>IF(G71&lt;=VLOOKUP(D71, Interview_Slots!$A$2:$B$5, 2, FALSE), "Allocated", "Not Allocated")</f>
        <v>Not Allocated</v>
      </c>
    </row>
    <row r="72">
      <c r="A72" s="6" t="s">
        <v>174</v>
      </c>
      <c r="B72" s="6" t="s">
        <v>175</v>
      </c>
      <c r="C72" s="7" t="s">
        <v>53</v>
      </c>
      <c r="D72" s="6" t="s">
        <v>25</v>
      </c>
      <c r="E72" s="9">
        <v>73.5</v>
      </c>
      <c r="F72" s="6" t="s">
        <v>963</v>
      </c>
      <c r="G72" s="6">
        <f>IFERROR(__xludf.DUMMYFUNCTION("RANK(E72, FILTER($E$2:$E1000, $D$2:$D1000=D72), 0)"),78.0)</f>
        <v>78</v>
      </c>
      <c r="H72" s="9" t="str">
        <f>IF(G72&lt;=VLOOKUP(D72, Interview_Slots!$A$2:$B$5, 2, FALSE), "Allocated", "Not Allocated")</f>
        <v>Not Allocated</v>
      </c>
    </row>
    <row r="73">
      <c r="A73" s="6" t="s">
        <v>176</v>
      </c>
      <c r="B73" s="6" t="s">
        <v>177</v>
      </c>
      <c r="C73" s="7" t="s">
        <v>53</v>
      </c>
      <c r="D73" s="6" t="s">
        <v>25</v>
      </c>
      <c r="E73" s="9">
        <v>93.15</v>
      </c>
      <c r="F73" s="6" t="s">
        <v>963</v>
      </c>
      <c r="G73" s="6">
        <f>IFERROR(__xludf.DUMMYFUNCTION("RANK(E73, FILTER($E$2:$E1000, $D$2:$D1000=D73), 0)"),1.0)</f>
        <v>1</v>
      </c>
      <c r="H73" s="9" t="str">
        <f>IF(G73&lt;=VLOOKUP(D73, Interview_Slots!$A$2:$B$5, 2, FALSE), "Allocated", "Not Allocated")</f>
        <v>Allocated</v>
      </c>
    </row>
    <row r="74">
      <c r="A74" s="6" t="s">
        <v>178</v>
      </c>
      <c r="B74" s="6" t="s">
        <v>179</v>
      </c>
      <c r="C74" s="7" t="s">
        <v>53</v>
      </c>
      <c r="D74" s="6" t="s">
        <v>17</v>
      </c>
      <c r="E74" s="9">
        <v>88.8</v>
      </c>
      <c r="F74" s="6" t="s">
        <v>962</v>
      </c>
      <c r="G74" s="6">
        <f>IFERROR(__xludf.DUMMYFUNCTION("RANK(E74, FILTER($E$2:$E1000, $D$2:$D1000=D74), 0)"),11.0)</f>
        <v>11</v>
      </c>
      <c r="H74" s="9" t="str">
        <f>IF(G74&lt;=VLOOKUP(D74, Interview_Slots!$A$2:$B$5, 2, FALSE), "Allocated", "Not Allocated")</f>
        <v>Allocated</v>
      </c>
    </row>
    <row r="75">
      <c r="A75" s="6" t="s">
        <v>180</v>
      </c>
      <c r="B75" s="6" t="s">
        <v>181</v>
      </c>
      <c r="C75" s="7" t="s">
        <v>53</v>
      </c>
      <c r="D75" s="6" t="s">
        <v>32</v>
      </c>
      <c r="E75" s="9">
        <v>74.15</v>
      </c>
      <c r="F75" s="6" t="s">
        <v>962</v>
      </c>
      <c r="G75" s="6">
        <f>IFERROR(__xludf.DUMMYFUNCTION("RANK(E75, FILTER($E$2:$E1000, $D$2:$D1000=D75), 0)"),64.0)</f>
        <v>64</v>
      </c>
      <c r="H75" s="9" t="str">
        <f>IF(G75&lt;=VLOOKUP(D75, Interview_Slots!$A$2:$B$5, 2, FALSE), "Allocated", "Not Allocated")</f>
        <v>Not Allocated</v>
      </c>
    </row>
    <row r="76">
      <c r="A76" s="6" t="s">
        <v>182</v>
      </c>
      <c r="B76" s="6" t="s">
        <v>183</v>
      </c>
      <c r="C76" s="7" t="s">
        <v>65</v>
      </c>
      <c r="D76" s="6" t="s">
        <v>17</v>
      </c>
      <c r="E76" s="9">
        <v>82.1</v>
      </c>
      <c r="F76" s="6" t="s">
        <v>962</v>
      </c>
      <c r="G76" s="6">
        <f>IFERROR(__xludf.DUMMYFUNCTION("RANK(E76, FILTER($E$2:$E1000, $D$2:$D1000=D76), 0)"),37.0)</f>
        <v>37</v>
      </c>
      <c r="H76" s="9" t="str">
        <f>IF(G76&lt;=VLOOKUP(D76, Interview_Slots!$A$2:$B$5, 2, FALSE), "Allocated", "Not Allocated")</f>
        <v>Allocated</v>
      </c>
    </row>
    <row r="77">
      <c r="A77" s="6" t="s">
        <v>184</v>
      </c>
      <c r="B77" s="6" t="s">
        <v>185</v>
      </c>
      <c r="C77" s="7" t="s">
        <v>65</v>
      </c>
      <c r="D77" s="6" t="s">
        <v>21</v>
      </c>
      <c r="E77" s="9">
        <v>66.69999999999999</v>
      </c>
      <c r="F77" s="6" t="s">
        <v>963</v>
      </c>
      <c r="G77" s="6">
        <f>IFERROR(__xludf.DUMMYFUNCTION("RANK(E77, FILTER($E$2:$E1000, $D$2:$D1000=D77), 0)"),121.0)</f>
        <v>121</v>
      </c>
      <c r="H77" s="9" t="str">
        <f>IF(G77&lt;=VLOOKUP(D77, Interview_Slots!$A$2:$B$5, 2, FALSE), "Allocated", "Not Allocated")</f>
        <v>Not Allocated</v>
      </c>
    </row>
    <row r="78">
      <c r="A78" s="6" t="s">
        <v>186</v>
      </c>
      <c r="B78" s="6" t="s">
        <v>187</v>
      </c>
      <c r="C78" s="7" t="s">
        <v>65</v>
      </c>
      <c r="D78" s="6" t="s">
        <v>32</v>
      </c>
      <c r="E78" s="9">
        <v>83.5</v>
      </c>
      <c r="F78" s="6" t="s">
        <v>962</v>
      </c>
      <c r="G78" s="6">
        <f>IFERROR(__xludf.DUMMYFUNCTION("RANK(E78, FILTER($E$2:$E1000, $D$2:$D1000=D78), 0)"),32.0)</f>
        <v>32</v>
      </c>
      <c r="H78" s="9" t="str">
        <f>IF(G78&lt;=VLOOKUP(D78, Interview_Slots!$A$2:$B$5, 2, FALSE), "Allocated", "Not Allocated")</f>
        <v>Allocated</v>
      </c>
    </row>
    <row r="79">
      <c r="A79" s="6" t="s">
        <v>188</v>
      </c>
      <c r="B79" s="6" t="s">
        <v>189</v>
      </c>
      <c r="C79" s="7" t="s">
        <v>65</v>
      </c>
      <c r="D79" s="6" t="s">
        <v>32</v>
      </c>
      <c r="E79" s="9">
        <v>70.3</v>
      </c>
      <c r="F79" s="6" t="s">
        <v>962</v>
      </c>
      <c r="G79" s="6">
        <f>IFERROR(__xludf.DUMMYFUNCTION("RANK(E79, FILTER($E$2:$E1000, $D$2:$D1000=D79), 0)"),86.0)</f>
        <v>86</v>
      </c>
      <c r="H79" s="9" t="str">
        <f>IF(G79&lt;=VLOOKUP(D79, Interview_Slots!$A$2:$B$5, 2, FALSE), "Allocated", "Not Allocated")</f>
        <v>Not Allocated</v>
      </c>
    </row>
    <row r="80">
      <c r="A80" s="6" t="s">
        <v>190</v>
      </c>
      <c r="B80" s="6" t="s">
        <v>191</v>
      </c>
      <c r="C80" s="7" t="s">
        <v>28</v>
      </c>
      <c r="D80" s="6" t="s">
        <v>17</v>
      </c>
      <c r="E80" s="9">
        <v>77.1</v>
      </c>
      <c r="F80" s="6" t="s">
        <v>962</v>
      </c>
      <c r="G80" s="6">
        <f>IFERROR(__xludf.DUMMYFUNCTION("RANK(E80, FILTER($E$2:$E1000, $D$2:$D1000=D80), 0)"),66.0)</f>
        <v>66</v>
      </c>
      <c r="H80" s="9" t="str">
        <f>IF(G80&lt;=VLOOKUP(D80, Interview_Slots!$A$2:$B$5, 2, FALSE), "Allocated", "Not Allocated")</f>
        <v>Allocated</v>
      </c>
    </row>
    <row r="81">
      <c r="A81" s="6" t="s">
        <v>192</v>
      </c>
      <c r="B81" s="6" t="s">
        <v>193</v>
      </c>
      <c r="C81" s="7" t="s">
        <v>28</v>
      </c>
      <c r="D81" s="6" t="s">
        <v>21</v>
      </c>
      <c r="E81" s="9">
        <v>74.35</v>
      </c>
      <c r="F81" s="6" t="s">
        <v>962</v>
      </c>
      <c r="G81" s="6">
        <f>IFERROR(__xludf.DUMMYFUNCTION("RANK(E81, FILTER($E$2:$E1000, $D$2:$D1000=D81), 0)"),79.0)</f>
        <v>79</v>
      </c>
      <c r="H81" s="9" t="str">
        <f>IF(G81&lt;=VLOOKUP(D81, Interview_Slots!$A$2:$B$5, 2, FALSE), "Allocated", "Not Allocated")</f>
        <v>Not Allocated</v>
      </c>
    </row>
    <row r="82">
      <c r="A82" s="6" t="s">
        <v>194</v>
      </c>
      <c r="B82" s="6" t="s">
        <v>195</v>
      </c>
      <c r="C82" s="7" t="s">
        <v>28</v>
      </c>
      <c r="D82" s="6" t="s">
        <v>21</v>
      </c>
      <c r="E82" s="9">
        <v>64.85</v>
      </c>
      <c r="F82" s="6" t="s">
        <v>963</v>
      </c>
      <c r="G82" s="6">
        <f>IFERROR(__xludf.DUMMYFUNCTION("RANK(E82, FILTER($E$2:$E1000, $D$2:$D1000=D82), 0)"),127.0)</f>
        <v>127</v>
      </c>
      <c r="H82" s="9" t="str">
        <f>IF(G82&lt;=VLOOKUP(D82, Interview_Slots!$A$2:$B$5, 2, FALSE), "Allocated", "Not Allocated")</f>
        <v>Not Allocated</v>
      </c>
    </row>
    <row r="83">
      <c r="A83" s="6" t="s">
        <v>196</v>
      </c>
      <c r="B83" s="6" t="s">
        <v>197</v>
      </c>
      <c r="C83" s="7" t="s">
        <v>28</v>
      </c>
      <c r="D83" s="6" t="s">
        <v>21</v>
      </c>
      <c r="E83" s="9">
        <v>82.0</v>
      </c>
      <c r="F83" s="6" t="s">
        <v>962</v>
      </c>
      <c r="G83" s="6">
        <f>IFERROR(__xludf.DUMMYFUNCTION("RANK(E83, FILTER($E$2:$E1000, $D$2:$D1000=D83), 0)"),30.0)</f>
        <v>30</v>
      </c>
      <c r="H83" s="9" t="str">
        <f>IF(G83&lt;=VLOOKUP(D83, Interview_Slots!$A$2:$B$5, 2, FALSE), "Allocated", "Not Allocated")</f>
        <v>Allocated</v>
      </c>
    </row>
    <row r="84">
      <c r="A84" s="6" t="s">
        <v>198</v>
      </c>
      <c r="B84" s="6" t="s">
        <v>199</v>
      </c>
      <c r="C84" s="7" t="s">
        <v>41</v>
      </c>
      <c r="D84" s="6" t="s">
        <v>25</v>
      </c>
      <c r="E84" s="9">
        <v>67.19999999999999</v>
      </c>
      <c r="F84" s="6" t="s">
        <v>963</v>
      </c>
      <c r="G84" s="6">
        <f>IFERROR(__xludf.DUMMYFUNCTION("RANK(E84, FILTER($E$2:$E1000, $D$2:$D1000=D84), 0)"),104.0)</f>
        <v>104</v>
      </c>
      <c r="H84" s="9" t="str">
        <f>IF(G84&lt;=VLOOKUP(D84, Interview_Slots!$A$2:$B$5, 2, FALSE), "Allocated", "Not Allocated")</f>
        <v>Not Allocated</v>
      </c>
    </row>
    <row r="85">
      <c r="A85" s="6" t="s">
        <v>200</v>
      </c>
      <c r="B85" s="6" t="s">
        <v>201</v>
      </c>
      <c r="C85" s="7" t="s">
        <v>41</v>
      </c>
      <c r="D85" s="6" t="s">
        <v>25</v>
      </c>
      <c r="E85" s="9">
        <v>83.05</v>
      </c>
      <c r="F85" s="6" t="s">
        <v>962</v>
      </c>
      <c r="G85" s="6">
        <f>IFERROR(__xludf.DUMMYFUNCTION("RANK(E85, FILTER($E$2:$E1000, $D$2:$D1000=D85), 0)"),32.0)</f>
        <v>32</v>
      </c>
      <c r="H85" s="9" t="str">
        <f>IF(G85&lt;=VLOOKUP(D85, Interview_Slots!$A$2:$B$5, 2, FALSE), "Allocated", "Not Allocated")</f>
        <v>Not Allocated</v>
      </c>
    </row>
    <row r="86">
      <c r="A86" s="6" t="s">
        <v>202</v>
      </c>
      <c r="B86" s="6" t="s">
        <v>203</v>
      </c>
      <c r="C86" s="7" t="s">
        <v>41</v>
      </c>
      <c r="D86" s="6" t="s">
        <v>25</v>
      </c>
      <c r="E86" s="9">
        <v>72.45</v>
      </c>
      <c r="F86" s="6" t="s">
        <v>963</v>
      </c>
      <c r="G86" s="6">
        <f>IFERROR(__xludf.DUMMYFUNCTION("RANK(E86, FILTER($E$2:$E1000, $D$2:$D1000=D86), 0)"),83.0)</f>
        <v>83</v>
      </c>
      <c r="H86" s="9" t="str">
        <f>IF(G86&lt;=VLOOKUP(D86, Interview_Slots!$A$2:$B$5, 2, FALSE), "Allocated", "Not Allocated")</f>
        <v>Not Allocated</v>
      </c>
    </row>
    <row r="87">
      <c r="A87" s="6" t="s">
        <v>204</v>
      </c>
      <c r="B87" s="6" t="s">
        <v>205</v>
      </c>
      <c r="C87" s="7" t="s">
        <v>41</v>
      </c>
      <c r="D87" s="6" t="s">
        <v>17</v>
      </c>
      <c r="E87" s="9">
        <v>71.35</v>
      </c>
      <c r="F87" s="6" t="s">
        <v>962</v>
      </c>
      <c r="G87" s="6">
        <f>IFERROR(__xludf.DUMMYFUNCTION("RANK(E87, FILTER($E$2:$E1000, $D$2:$D1000=D87), 0)"),91.0)</f>
        <v>91</v>
      </c>
      <c r="H87" s="9" t="str">
        <f>IF(G87&lt;=VLOOKUP(D87, Interview_Slots!$A$2:$B$5, 2, FALSE), "Allocated", "Not Allocated")</f>
        <v>Not Allocated</v>
      </c>
    </row>
    <row r="88">
      <c r="A88" s="6" t="s">
        <v>206</v>
      </c>
      <c r="B88" s="6" t="s">
        <v>207</v>
      </c>
      <c r="C88" s="7" t="s">
        <v>53</v>
      </c>
      <c r="D88" s="6" t="s">
        <v>32</v>
      </c>
      <c r="E88" s="9">
        <v>68.05</v>
      </c>
      <c r="F88" s="6" t="s">
        <v>962</v>
      </c>
      <c r="G88" s="6">
        <f>IFERROR(__xludf.DUMMYFUNCTION("RANK(E88, FILTER($E$2:$E1000, $D$2:$D1000=D88), 0)"),95.0)</f>
        <v>95</v>
      </c>
      <c r="H88" s="9" t="str">
        <f>IF(G88&lt;=VLOOKUP(D88, Interview_Slots!$A$2:$B$5, 2, FALSE), "Allocated", "Not Allocated")</f>
        <v>Not Allocated</v>
      </c>
    </row>
    <row r="89">
      <c r="A89" s="6" t="s">
        <v>208</v>
      </c>
      <c r="B89" s="6" t="s">
        <v>209</v>
      </c>
      <c r="C89" s="7" t="s">
        <v>53</v>
      </c>
      <c r="D89" s="6" t="s">
        <v>17</v>
      </c>
      <c r="E89" s="9">
        <v>77.19999999999999</v>
      </c>
      <c r="F89" s="6" t="s">
        <v>962</v>
      </c>
      <c r="G89" s="6">
        <f>IFERROR(__xludf.DUMMYFUNCTION("RANK(E89, FILTER($E$2:$E1000, $D$2:$D1000=D89), 0)"),65.0)</f>
        <v>65</v>
      </c>
      <c r="H89" s="9" t="str">
        <f>IF(G89&lt;=VLOOKUP(D89, Interview_Slots!$A$2:$B$5, 2, FALSE), "Allocated", "Not Allocated")</f>
        <v>Allocated</v>
      </c>
    </row>
    <row r="90">
      <c r="A90" s="6" t="s">
        <v>210</v>
      </c>
      <c r="B90" s="6" t="s">
        <v>211</v>
      </c>
      <c r="C90" s="7" t="s">
        <v>53</v>
      </c>
      <c r="D90" s="6" t="s">
        <v>21</v>
      </c>
      <c r="E90" s="9">
        <v>90.85</v>
      </c>
      <c r="F90" s="6" t="s">
        <v>962</v>
      </c>
      <c r="G90" s="6">
        <f>IFERROR(__xludf.DUMMYFUNCTION("RANK(E90, FILTER($E$2:$E1000, $D$2:$D1000=D90), 0)"),6.0)</f>
        <v>6</v>
      </c>
      <c r="H90" s="9" t="str">
        <f>IF(G90&lt;=VLOOKUP(D90, Interview_Slots!$A$2:$B$5, 2, FALSE), "Allocated", "Not Allocated")</f>
        <v>Allocated</v>
      </c>
    </row>
    <row r="91">
      <c r="A91" s="6" t="s">
        <v>212</v>
      </c>
      <c r="B91" s="6" t="s">
        <v>213</v>
      </c>
      <c r="C91" s="7" t="s">
        <v>53</v>
      </c>
      <c r="D91" s="6" t="s">
        <v>32</v>
      </c>
      <c r="E91" s="9">
        <v>72.9</v>
      </c>
      <c r="F91" s="6" t="s">
        <v>962</v>
      </c>
      <c r="G91" s="6">
        <f>IFERROR(__xludf.DUMMYFUNCTION("RANK(E91, FILTER($E$2:$E1000, $D$2:$D1000=D91), 0)"),71.0)</f>
        <v>71</v>
      </c>
      <c r="H91" s="9" t="str">
        <f>IF(G91&lt;=VLOOKUP(D91, Interview_Slots!$A$2:$B$5, 2, FALSE), "Allocated", "Not Allocated")</f>
        <v>Not Allocated</v>
      </c>
    </row>
    <row r="92">
      <c r="A92" s="6" t="s">
        <v>214</v>
      </c>
      <c r="B92" s="6" t="s">
        <v>215</v>
      </c>
      <c r="C92" s="7" t="s">
        <v>65</v>
      </c>
      <c r="D92" s="6" t="s">
        <v>32</v>
      </c>
      <c r="E92" s="9">
        <v>73.75</v>
      </c>
      <c r="F92" s="6" t="s">
        <v>962</v>
      </c>
      <c r="G92" s="6">
        <f>IFERROR(__xludf.DUMMYFUNCTION("RANK(E92, FILTER($E$2:$E1000, $D$2:$D1000=D92), 0)"),67.0)</f>
        <v>67</v>
      </c>
      <c r="H92" s="9" t="str">
        <f>IF(G92&lt;=VLOOKUP(D92, Interview_Slots!$A$2:$B$5, 2, FALSE), "Allocated", "Not Allocated")</f>
        <v>Not Allocated</v>
      </c>
    </row>
    <row r="93">
      <c r="A93" s="6" t="s">
        <v>216</v>
      </c>
      <c r="B93" s="6" t="s">
        <v>217</v>
      </c>
      <c r="C93" s="7" t="s">
        <v>65</v>
      </c>
      <c r="D93" s="6" t="s">
        <v>17</v>
      </c>
      <c r="E93" s="9">
        <v>76.15</v>
      </c>
      <c r="F93" s="6" t="s">
        <v>962</v>
      </c>
      <c r="G93" s="6">
        <f>IFERROR(__xludf.DUMMYFUNCTION("RANK(E93, FILTER($E$2:$E1000, $D$2:$D1000=D93), 0)"),73.0)</f>
        <v>73</v>
      </c>
      <c r="H93" s="9" t="str">
        <f>IF(G93&lt;=VLOOKUP(D93, Interview_Slots!$A$2:$B$5, 2, FALSE), "Allocated", "Not Allocated")</f>
        <v>Allocated</v>
      </c>
    </row>
    <row r="94">
      <c r="A94" s="6" t="s">
        <v>218</v>
      </c>
      <c r="B94" s="6" t="s">
        <v>219</v>
      </c>
      <c r="C94" s="7" t="s">
        <v>65</v>
      </c>
      <c r="D94" s="6" t="s">
        <v>21</v>
      </c>
      <c r="E94" s="9">
        <v>61.75</v>
      </c>
      <c r="F94" s="6" t="s">
        <v>963</v>
      </c>
      <c r="G94" s="6">
        <f>IFERROR(__xludf.DUMMYFUNCTION("RANK(E94, FILTER($E$2:$E1000, $D$2:$D1000=D94), 0)"),135.0)</f>
        <v>135</v>
      </c>
      <c r="H94" s="9" t="str">
        <f>IF(G94&lt;=VLOOKUP(D94, Interview_Slots!$A$2:$B$5, 2, FALSE), "Allocated", "Not Allocated")</f>
        <v>Not Allocated</v>
      </c>
    </row>
    <row r="95">
      <c r="A95" s="6" t="s">
        <v>220</v>
      </c>
      <c r="B95" s="6" t="s">
        <v>221</v>
      </c>
      <c r="C95" s="7" t="s">
        <v>28</v>
      </c>
      <c r="D95" s="6" t="s">
        <v>32</v>
      </c>
      <c r="E95" s="9">
        <v>72.8</v>
      </c>
      <c r="F95" s="6" t="s">
        <v>962</v>
      </c>
      <c r="G95" s="6">
        <f>IFERROR(__xludf.DUMMYFUNCTION("RANK(E95, FILTER($E$2:$E1000, $D$2:$D1000=D95), 0)"),73.0)</f>
        <v>73</v>
      </c>
      <c r="H95" s="9" t="str">
        <f>IF(G95&lt;=VLOOKUP(D95, Interview_Slots!$A$2:$B$5, 2, FALSE), "Allocated", "Not Allocated")</f>
        <v>Not Allocated</v>
      </c>
    </row>
    <row r="96">
      <c r="A96" s="6" t="s">
        <v>222</v>
      </c>
      <c r="B96" s="6" t="s">
        <v>223</v>
      </c>
      <c r="C96" s="7" t="s">
        <v>28</v>
      </c>
      <c r="D96" s="6" t="s">
        <v>21</v>
      </c>
      <c r="E96" s="9">
        <v>81.19999999999999</v>
      </c>
      <c r="F96" s="6" t="s">
        <v>962</v>
      </c>
      <c r="G96" s="6">
        <f>IFERROR(__xludf.DUMMYFUNCTION("RANK(E96, FILTER($E$2:$E1000, $D$2:$D1000=D96), 0)"),35.0)</f>
        <v>35</v>
      </c>
      <c r="H96" s="9" t="str">
        <f>IF(G96&lt;=VLOOKUP(D96, Interview_Slots!$A$2:$B$5, 2, FALSE), "Allocated", "Not Allocated")</f>
        <v>Allocated</v>
      </c>
    </row>
    <row r="97">
      <c r="A97" s="6" t="s">
        <v>224</v>
      </c>
      <c r="B97" s="6" t="s">
        <v>225</v>
      </c>
      <c r="C97" s="7" t="s">
        <v>28</v>
      </c>
      <c r="D97" s="6" t="s">
        <v>25</v>
      </c>
      <c r="E97" s="9">
        <v>83.1</v>
      </c>
      <c r="F97" s="6" t="s">
        <v>963</v>
      </c>
      <c r="G97" s="6">
        <f>IFERROR(__xludf.DUMMYFUNCTION("RANK(E97, FILTER($E$2:$E1000, $D$2:$D1000=D97), 0)"),31.0)</f>
        <v>31</v>
      </c>
      <c r="H97" s="9" t="str">
        <f>IF(G97&lt;=VLOOKUP(D97, Interview_Slots!$A$2:$B$5, 2, FALSE), "Allocated", "Not Allocated")</f>
        <v>Not Allocated</v>
      </c>
    </row>
    <row r="98">
      <c r="A98" s="6" t="s">
        <v>226</v>
      </c>
      <c r="B98" s="6" t="s">
        <v>227</v>
      </c>
      <c r="C98" s="7" t="s">
        <v>28</v>
      </c>
      <c r="D98" s="6" t="s">
        <v>25</v>
      </c>
      <c r="E98" s="9">
        <v>81.3</v>
      </c>
      <c r="F98" s="6" t="s">
        <v>963</v>
      </c>
      <c r="G98" s="6">
        <f>IFERROR(__xludf.DUMMYFUNCTION("RANK(E98, FILTER($E$2:$E1000, $D$2:$D1000=D98), 0)"),41.0)</f>
        <v>41</v>
      </c>
      <c r="H98" s="9" t="str">
        <f>IF(G98&lt;=VLOOKUP(D98, Interview_Slots!$A$2:$B$5, 2, FALSE), "Allocated", "Not Allocated")</f>
        <v>Not Allocated</v>
      </c>
    </row>
    <row r="99">
      <c r="A99" s="6" t="s">
        <v>228</v>
      </c>
      <c r="B99" s="6" t="s">
        <v>229</v>
      </c>
      <c r="C99" s="7" t="s">
        <v>41</v>
      </c>
      <c r="D99" s="6" t="s">
        <v>21</v>
      </c>
      <c r="E99" s="9">
        <v>90.64999999999999</v>
      </c>
      <c r="F99" s="6" t="s">
        <v>962</v>
      </c>
      <c r="G99" s="6">
        <f>IFERROR(__xludf.DUMMYFUNCTION("RANK(E99, FILTER($E$2:$E1000, $D$2:$D1000=D99), 0)"),8.0)</f>
        <v>8</v>
      </c>
      <c r="H99" s="9" t="str">
        <f>IF(G99&lt;=VLOOKUP(D99, Interview_Slots!$A$2:$B$5, 2, FALSE), "Allocated", "Not Allocated")</f>
        <v>Allocated</v>
      </c>
    </row>
    <row r="100">
      <c r="A100" s="6" t="s">
        <v>230</v>
      </c>
      <c r="B100" s="6" t="s">
        <v>231</v>
      </c>
      <c r="C100" s="7" t="s">
        <v>41</v>
      </c>
      <c r="D100" s="6" t="s">
        <v>21</v>
      </c>
      <c r="E100" s="9">
        <v>73.9</v>
      </c>
      <c r="F100" s="6" t="s">
        <v>963</v>
      </c>
      <c r="G100" s="6">
        <f>IFERROR(__xludf.DUMMYFUNCTION("RANK(E100, FILTER($E$2:$E1000, $D$2:$D1000=D100), 0)"),81.0)</f>
        <v>81</v>
      </c>
      <c r="H100" s="9" t="str">
        <f>IF(G100&lt;=VLOOKUP(D100, Interview_Slots!$A$2:$B$5, 2, FALSE), "Allocated", "Not Allocated")</f>
        <v>Not Allocated</v>
      </c>
    </row>
    <row r="101">
      <c r="A101" s="6" t="s">
        <v>232</v>
      </c>
      <c r="B101" s="6" t="s">
        <v>233</v>
      </c>
      <c r="C101" s="7" t="s">
        <v>41</v>
      </c>
      <c r="D101" s="6" t="s">
        <v>32</v>
      </c>
      <c r="E101" s="9">
        <v>81.85</v>
      </c>
      <c r="F101" s="6" t="s">
        <v>962</v>
      </c>
      <c r="G101" s="6">
        <f>IFERROR(__xludf.DUMMYFUNCTION("RANK(E101, FILTER($E$2:$E1000, $D$2:$D1000=D101), 0)"),41.0)</f>
        <v>41</v>
      </c>
      <c r="H101" s="9" t="str">
        <f>IF(G101&lt;=VLOOKUP(D101, Interview_Slots!$A$2:$B$5, 2, FALSE), "Allocated", "Not Allocated")</f>
        <v>Allocated</v>
      </c>
    </row>
    <row r="102">
      <c r="A102" s="6" t="s">
        <v>234</v>
      </c>
      <c r="B102" s="6" t="s">
        <v>235</v>
      </c>
      <c r="C102" s="7" t="s">
        <v>41</v>
      </c>
      <c r="D102" s="6" t="s">
        <v>17</v>
      </c>
      <c r="E102" s="9">
        <v>69.25</v>
      </c>
      <c r="F102" s="6" t="s">
        <v>962</v>
      </c>
      <c r="G102" s="6">
        <f>IFERROR(__xludf.DUMMYFUNCTION("RANK(E102, FILTER($E$2:$E1000, $D$2:$D1000=D102), 0)"),98.0)</f>
        <v>98</v>
      </c>
      <c r="H102" s="9" t="str">
        <f>IF(G102&lt;=VLOOKUP(D102, Interview_Slots!$A$2:$B$5, 2, FALSE), "Allocated", "Not Allocated")</f>
        <v>Not Allocated</v>
      </c>
    </row>
    <row r="103">
      <c r="A103" s="6" t="s">
        <v>236</v>
      </c>
      <c r="B103" s="6" t="s">
        <v>237</v>
      </c>
      <c r="C103" s="7" t="s">
        <v>53</v>
      </c>
      <c r="D103" s="6" t="s">
        <v>21</v>
      </c>
      <c r="E103" s="9">
        <v>71.05</v>
      </c>
      <c r="F103" s="6" t="s">
        <v>962</v>
      </c>
      <c r="G103" s="6">
        <f>IFERROR(__xludf.DUMMYFUNCTION("RANK(E103, FILTER($E$2:$E1000, $D$2:$D1000=D103), 0)"),99.0)</f>
        <v>99</v>
      </c>
      <c r="H103" s="9" t="str">
        <f>IF(G103&lt;=VLOOKUP(D103, Interview_Slots!$A$2:$B$5, 2, FALSE), "Allocated", "Not Allocated")</f>
        <v>Not Allocated</v>
      </c>
    </row>
    <row r="104">
      <c r="A104" s="6" t="s">
        <v>238</v>
      </c>
      <c r="B104" s="6" t="s">
        <v>239</v>
      </c>
      <c r="C104" s="7" t="s">
        <v>53</v>
      </c>
      <c r="D104" s="6" t="s">
        <v>32</v>
      </c>
      <c r="E104" s="9">
        <v>84.35</v>
      </c>
      <c r="F104" s="6" t="s">
        <v>962</v>
      </c>
      <c r="G104" s="6">
        <f>IFERROR(__xludf.DUMMYFUNCTION("RANK(E104, FILTER($E$2:$E1000, $D$2:$D1000=D104), 0)"),28.0)</f>
        <v>28</v>
      </c>
      <c r="H104" s="9" t="str">
        <f>IF(G104&lt;=VLOOKUP(D104, Interview_Slots!$A$2:$B$5, 2, FALSE), "Allocated", "Not Allocated")</f>
        <v>Allocated</v>
      </c>
    </row>
    <row r="105">
      <c r="A105" s="6" t="s">
        <v>240</v>
      </c>
      <c r="B105" s="6" t="s">
        <v>241</v>
      </c>
      <c r="C105" s="7" t="s">
        <v>53</v>
      </c>
      <c r="D105" s="6" t="s">
        <v>32</v>
      </c>
      <c r="E105" s="9">
        <v>67.9</v>
      </c>
      <c r="F105" s="6" t="s">
        <v>962</v>
      </c>
      <c r="G105" s="6">
        <f>IFERROR(__xludf.DUMMYFUNCTION("RANK(E105, FILTER($E$2:$E1000, $D$2:$D1000=D105), 0)"),97.0)</f>
        <v>97</v>
      </c>
      <c r="H105" s="9" t="str">
        <f>IF(G105&lt;=VLOOKUP(D105, Interview_Slots!$A$2:$B$5, 2, FALSE), "Allocated", "Not Allocated")</f>
        <v>Not Allocated</v>
      </c>
    </row>
    <row r="106">
      <c r="A106" s="6" t="s">
        <v>242</v>
      </c>
      <c r="B106" s="6" t="s">
        <v>243</v>
      </c>
      <c r="C106" s="7" t="s">
        <v>53</v>
      </c>
      <c r="D106" s="6" t="s">
        <v>17</v>
      </c>
      <c r="E106" s="9">
        <v>76.0</v>
      </c>
      <c r="F106" s="6" t="s">
        <v>962</v>
      </c>
      <c r="G106" s="6">
        <f>IFERROR(__xludf.DUMMYFUNCTION("RANK(E106, FILTER($E$2:$E1000, $D$2:$D1000=D106), 0)"),74.0)</f>
        <v>74</v>
      </c>
      <c r="H106" s="9" t="str">
        <f>IF(G106&lt;=VLOOKUP(D106, Interview_Slots!$A$2:$B$5, 2, FALSE), "Allocated", "Not Allocated")</f>
        <v>Allocated</v>
      </c>
    </row>
    <row r="107">
      <c r="A107" s="6" t="s">
        <v>244</v>
      </c>
      <c r="B107" s="6" t="s">
        <v>245</v>
      </c>
      <c r="C107" s="7" t="s">
        <v>65</v>
      </c>
      <c r="D107" s="6" t="s">
        <v>17</v>
      </c>
      <c r="E107" s="9">
        <v>86.5</v>
      </c>
      <c r="F107" s="6" t="s">
        <v>962</v>
      </c>
      <c r="G107" s="6">
        <f>IFERROR(__xludf.DUMMYFUNCTION("RANK(E107, FILTER($E$2:$E1000, $D$2:$D1000=D107), 0)"),20.0)</f>
        <v>20</v>
      </c>
      <c r="H107" s="9" t="str">
        <f>IF(G107&lt;=VLOOKUP(D107, Interview_Slots!$A$2:$B$5, 2, FALSE), "Allocated", "Not Allocated")</f>
        <v>Allocated</v>
      </c>
    </row>
    <row r="108">
      <c r="A108" s="6" t="s">
        <v>246</v>
      </c>
      <c r="B108" s="6" t="s">
        <v>247</v>
      </c>
      <c r="C108" s="7" t="s">
        <v>65</v>
      </c>
      <c r="D108" s="6" t="s">
        <v>21</v>
      </c>
      <c r="E108" s="9">
        <v>68.9</v>
      </c>
      <c r="F108" s="6" t="s">
        <v>963</v>
      </c>
      <c r="G108" s="6">
        <f>IFERROR(__xludf.DUMMYFUNCTION("RANK(E108, FILTER($E$2:$E1000, $D$2:$D1000=D108), 0)"),109.0)</f>
        <v>109</v>
      </c>
      <c r="H108" s="9" t="str">
        <f>IF(G108&lt;=VLOOKUP(D108, Interview_Slots!$A$2:$B$5, 2, FALSE), "Allocated", "Not Allocated")</f>
        <v>Not Allocated</v>
      </c>
    </row>
    <row r="109">
      <c r="A109" s="6" t="s">
        <v>248</v>
      </c>
      <c r="B109" s="6" t="s">
        <v>249</v>
      </c>
      <c r="C109" s="7" t="s">
        <v>65</v>
      </c>
      <c r="D109" s="6" t="s">
        <v>21</v>
      </c>
      <c r="E109" s="9">
        <v>85.1</v>
      </c>
      <c r="F109" s="6" t="s">
        <v>963</v>
      </c>
      <c r="G109" s="6">
        <f>IFERROR(__xludf.DUMMYFUNCTION("RANK(E109, FILTER($E$2:$E1000, $D$2:$D1000=D109), 0)"),20.0)</f>
        <v>20</v>
      </c>
      <c r="H109" s="9" t="str">
        <f>IF(G109&lt;=VLOOKUP(D109, Interview_Slots!$A$2:$B$5, 2, FALSE), "Allocated", "Not Allocated")</f>
        <v>Allocated</v>
      </c>
    </row>
    <row r="110">
      <c r="A110" s="6" t="s">
        <v>250</v>
      </c>
      <c r="B110" s="6" t="s">
        <v>251</v>
      </c>
      <c r="C110" s="7" t="s">
        <v>65</v>
      </c>
      <c r="D110" s="6" t="s">
        <v>25</v>
      </c>
      <c r="E110" s="9">
        <v>85.6</v>
      </c>
      <c r="F110" s="6" t="s">
        <v>962</v>
      </c>
      <c r="G110" s="6">
        <f>IFERROR(__xludf.DUMMYFUNCTION("RANK(E110, FILTER($E$2:$E1000, $D$2:$D1000=D110), 0)"),21.0)</f>
        <v>21</v>
      </c>
      <c r="H110" s="9" t="str">
        <f>IF(G110&lt;=VLOOKUP(D110, Interview_Slots!$A$2:$B$5, 2, FALSE), "Allocated", "Not Allocated")</f>
        <v>Allocated</v>
      </c>
    </row>
    <row r="111">
      <c r="A111" s="6" t="s">
        <v>252</v>
      </c>
      <c r="B111" s="6" t="s">
        <v>253</v>
      </c>
      <c r="C111" s="7" t="s">
        <v>28</v>
      </c>
      <c r="D111" s="6" t="s">
        <v>25</v>
      </c>
      <c r="E111" s="9">
        <v>64.55</v>
      </c>
      <c r="F111" s="6" t="s">
        <v>963</v>
      </c>
      <c r="G111" s="6">
        <f>IFERROR(__xludf.DUMMYFUNCTION("RANK(E111, FILTER($E$2:$E1000, $D$2:$D1000=D111), 0)"),108.0)</f>
        <v>108</v>
      </c>
      <c r="H111" s="9" t="str">
        <f>IF(G111&lt;=VLOOKUP(D111, Interview_Slots!$A$2:$B$5, 2, FALSE), "Allocated", "Not Allocated")</f>
        <v>Not Allocated</v>
      </c>
    </row>
    <row r="112">
      <c r="A112" s="6" t="s">
        <v>254</v>
      </c>
      <c r="B112" s="6" t="s">
        <v>255</v>
      </c>
      <c r="C112" s="7" t="s">
        <v>28</v>
      </c>
      <c r="D112" s="6" t="s">
        <v>25</v>
      </c>
      <c r="E112" s="9">
        <v>76.4</v>
      </c>
      <c r="F112" s="6" t="s">
        <v>963</v>
      </c>
      <c r="G112" s="6">
        <f>IFERROR(__xludf.DUMMYFUNCTION("RANK(E112, FILTER($E$2:$E1000, $D$2:$D1000=D112), 0)"),67.0)</f>
        <v>67</v>
      </c>
      <c r="H112" s="9" t="str">
        <f>IF(G112&lt;=VLOOKUP(D112, Interview_Slots!$A$2:$B$5, 2, FALSE), "Allocated", "Not Allocated")</f>
        <v>Not Allocated</v>
      </c>
    </row>
    <row r="113">
      <c r="A113" s="6" t="s">
        <v>256</v>
      </c>
      <c r="B113" s="6" t="s">
        <v>257</v>
      </c>
      <c r="C113" s="7" t="s">
        <v>28</v>
      </c>
      <c r="D113" s="6" t="s">
        <v>17</v>
      </c>
      <c r="E113" s="9">
        <v>80.6</v>
      </c>
      <c r="F113" s="6" t="s">
        <v>962</v>
      </c>
      <c r="G113" s="6">
        <f>IFERROR(__xludf.DUMMYFUNCTION("RANK(E113, FILTER($E$2:$E1000, $D$2:$D1000=D113), 0)"),47.0)</f>
        <v>47</v>
      </c>
      <c r="H113" s="9" t="str">
        <f>IF(G113&lt;=VLOOKUP(D113, Interview_Slots!$A$2:$B$5, 2, FALSE), "Allocated", "Not Allocated")</f>
        <v>Allocated</v>
      </c>
    </row>
    <row r="114">
      <c r="A114" s="6" t="s">
        <v>258</v>
      </c>
      <c r="B114" s="6" t="s">
        <v>259</v>
      </c>
      <c r="C114" s="7" t="s">
        <v>28</v>
      </c>
      <c r="D114" s="6" t="s">
        <v>32</v>
      </c>
      <c r="E114" s="9">
        <v>67.0</v>
      </c>
      <c r="F114" s="6" t="s">
        <v>962</v>
      </c>
      <c r="G114" s="6">
        <f>IFERROR(__xludf.DUMMYFUNCTION("RANK(E114, FILTER($E$2:$E1000, $D$2:$D1000=D114), 0)"),100.0)</f>
        <v>100</v>
      </c>
      <c r="H114" s="9" t="str">
        <f>IF(G114&lt;=VLOOKUP(D114, Interview_Slots!$A$2:$B$5, 2, FALSE), "Allocated", "Not Allocated")</f>
        <v>Not Allocated</v>
      </c>
    </row>
    <row r="115">
      <c r="A115" s="6" t="s">
        <v>260</v>
      </c>
      <c r="B115" s="6" t="s">
        <v>261</v>
      </c>
      <c r="C115" s="7" t="s">
        <v>41</v>
      </c>
      <c r="D115" s="6" t="s">
        <v>17</v>
      </c>
      <c r="E115" s="9">
        <v>68.85</v>
      </c>
      <c r="F115" s="6" t="s">
        <v>962</v>
      </c>
      <c r="G115" s="6">
        <f>IFERROR(__xludf.DUMMYFUNCTION("RANK(E115, FILTER($E$2:$E1000, $D$2:$D1000=D115), 0)"),100.0)</f>
        <v>100</v>
      </c>
      <c r="H115" s="9" t="str">
        <f>IF(G115&lt;=VLOOKUP(D115, Interview_Slots!$A$2:$B$5, 2, FALSE), "Allocated", "Not Allocated")</f>
        <v>Not Allocated</v>
      </c>
    </row>
    <row r="116">
      <c r="A116" s="6" t="s">
        <v>262</v>
      </c>
      <c r="B116" s="6" t="s">
        <v>263</v>
      </c>
      <c r="C116" s="7" t="s">
        <v>41</v>
      </c>
      <c r="D116" s="6" t="s">
        <v>21</v>
      </c>
      <c r="E116" s="9">
        <v>73.1</v>
      </c>
      <c r="F116" s="6" t="s">
        <v>962</v>
      </c>
      <c r="G116" s="6">
        <f>IFERROR(__xludf.DUMMYFUNCTION("RANK(E116, FILTER($E$2:$E1000, $D$2:$D1000=D116), 0)"),89.0)</f>
        <v>89</v>
      </c>
      <c r="H116" s="9" t="str">
        <f>IF(G116&lt;=VLOOKUP(D116, Interview_Slots!$A$2:$B$5, 2, FALSE), "Allocated", "Not Allocated")</f>
        <v>Not Allocated</v>
      </c>
    </row>
    <row r="117">
      <c r="A117" s="6" t="s">
        <v>264</v>
      </c>
      <c r="B117" s="6" t="s">
        <v>265</v>
      </c>
      <c r="C117" s="7" t="s">
        <v>41</v>
      </c>
      <c r="D117" s="6" t="s">
        <v>32</v>
      </c>
      <c r="E117" s="9">
        <v>74.15</v>
      </c>
      <c r="F117" s="6" t="s">
        <v>962</v>
      </c>
      <c r="G117" s="6">
        <f>IFERROR(__xludf.DUMMYFUNCTION("RANK(E117, FILTER($E$2:$E1000, $D$2:$D1000=D117), 0)"),64.0)</f>
        <v>64</v>
      </c>
      <c r="H117" s="9" t="str">
        <f>IF(G117&lt;=VLOOKUP(D117, Interview_Slots!$A$2:$B$5, 2, FALSE), "Allocated", "Not Allocated")</f>
        <v>Not Allocated</v>
      </c>
    </row>
    <row r="118">
      <c r="A118" s="6" t="s">
        <v>266</v>
      </c>
      <c r="B118" s="6" t="s">
        <v>267</v>
      </c>
      <c r="C118" s="7" t="s">
        <v>41</v>
      </c>
      <c r="D118" s="6" t="s">
        <v>32</v>
      </c>
      <c r="E118" s="9">
        <v>75.0</v>
      </c>
      <c r="F118" s="6" t="s">
        <v>962</v>
      </c>
      <c r="G118" s="6">
        <f>IFERROR(__xludf.DUMMYFUNCTION("RANK(E118, FILTER($E$2:$E1000, $D$2:$D1000=D118), 0)"),61.0)</f>
        <v>61</v>
      </c>
      <c r="H118" s="9" t="str">
        <f>IF(G118&lt;=VLOOKUP(D118, Interview_Slots!$A$2:$B$5, 2, FALSE), "Allocated", "Not Allocated")</f>
        <v>Not Allocated</v>
      </c>
    </row>
    <row r="119">
      <c r="A119" s="6" t="s">
        <v>268</v>
      </c>
      <c r="B119" s="6" t="s">
        <v>269</v>
      </c>
      <c r="C119" s="7" t="s">
        <v>53</v>
      </c>
      <c r="D119" s="6" t="s">
        <v>17</v>
      </c>
      <c r="E119" s="9">
        <v>81.8</v>
      </c>
      <c r="F119" s="6" t="s">
        <v>962</v>
      </c>
      <c r="G119" s="6">
        <f>IFERROR(__xludf.DUMMYFUNCTION("RANK(E119, FILTER($E$2:$E1000, $D$2:$D1000=D119), 0)"),39.0)</f>
        <v>39</v>
      </c>
      <c r="H119" s="9" t="str">
        <f>IF(G119&lt;=VLOOKUP(D119, Interview_Slots!$A$2:$B$5, 2, FALSE), "Allocated", "Not Allocated")</f>
        <v>Allocated</v>
      </c>
    </row>
    <row r="120">
      <c r="A120" s="6" t="s">
        <v>270</v>
      </c>
      <c r="B120" s="6" t="s">
        <v>271</v>
      </c>
      <c r="C120" s="7" t="s">
        <v>53</v>
      </c>
      <c r="D120" s="6" t="s">
        <v>21</v>
      </c>
      <c r="E120" s="9">
        <v>74.65</v>
      </c>
      <c r="F120" s="6" t="s">
        <v>962</v>
      </c>
      <c r="G120" s="6">
        <f>IFERROR(__xludf.DUMMYFUNCTION("RANK(E120, FILTER($E$2:$E1000, $D$2:$D1000=D120), 0)"),76.0)</f>
        <v>76</v>
      </c>
      <c r="H120" s="9" t="str">
        <f>IF(G120&lt;=VLOOKUP(D120, Interview_Slots!$A$2:$B$5, 2, FALSE), "Allocated", "Not Allocated")</f>
        <v>Not Allocated</v>
      </c>
    </row>
    <row r="121">
      <c r="A121" s="6" t="s">
        <v>272</v>
      </c>
      <c r="B121" s="6" t="s">
        <v>273</v>
      </c>
      <c r="C121" s="7" t="s">
        <v>53</v>
      </c>
      <c r="D121" s="6" t="s">
        <v>21</v>
      </c>
      <c r="E121" s="9">
        <v>84.44999999999999</v>
      </c>
      <c r="F121" s="6" t="s">
        <v>963</v>
      </c>
      <c r="G121" s="6">
        <f>IFERROR(__xludf.DUMMYFUNCTION("RANK(E121, FILTER($E$2:$E1000, $D$2:$D1000=D121), 0)"),21.0)</f>
        <v>21</v>
      </c>
      <c r="H121" s="9" t="str">
        <f>IF(G121&lt;=VLOOKUP(D121, Interview_Slots!$A$2:$B$5, 2, FALSE), "Allocated", "Not Allocated")</f>
        <v>Allocated</v>
      </c>
    </row>
    <row r="122">
      <c r="A122" s="6" t="s">
        <v>274</v>
      </c>
      <c r="B122" s="6" t="s">
        <v>275</v>
      </c>
      <c r="C122" s="7" t="s">
        <v>53</v>
      </c>
      <c r="D122" s="6" t="s">
        <v>21</v>
      </c>
      <c r="E122" s="9">
        <v>75.94999999999999</v>
      </c>
      <c r="F122" s="6" t="s">
        <v>962</v>
      </c>
      <c r="G122" s="6">
        <f>IFERROR(__xludf.DUMMYFUNCTION("RANK(E122, FILTER($E$2:$E1000, $D$2:$D1000=D122), 0)"),68.0)</f>
        <v>68</v>
      </c>
      <c r="H122" s="9" t="str">
        <f>IF(G122&lt;=VLOOKUP(D122, Interview_Slots!$A$2:$B$5, 2, FALSE), "Allocated", "Not Allocated")</f>
        <v>Not Allocated</v>
      </c>
    </row>
    <row r="123">
      <c r="A123" s="6" t="s">
        <v>276</v>
      </c>
      <c r="B123" s="6" t="s">
        <v>277</v>
      </c>
      <c r="C123" s="7" t="s">
        <v>65</v>
      </c>
      <c r="D123" s="6" t="s">
        <v>25</v>
      </c>
      <c r="E123" s="9">
        <v>84.55</v>
      </c>
      <c r="F123" s="6" t="s">
        <v>962</v>
      </c>
      <c r="G123" s="6">
        <f>IFERROR(__xludf.DUMMYFUNCTION("RANK(E123, FILTER($E$2:$E1000, $D$2:$D1000=D123), 0)"),27.0)</f>
        <v>27</v>
      </c>
      <c r="H123" s="9" t="str">
        <f>IF(G123&lt;=VLOOKUP(D123, Interview_Slots!$A$2:$B$5, 2, FALSE), "Allocated", "Not Allocated")</f>
        <v>Allocated</v>
      </c>
    </row>
    <row r="124">
      <c r="A124" s="6" t="s">
        <v>278</v>
      </c>
      <c r="B124" s="6" t="s">
        <v>279</v>
      </c>
      <c r="C124" s="7" t="s">
        <v>65</v>
      </c>
      <c r="D124" s="6" t="s">
        <v>32</v>
      </c>
      <c r="E124" s="9">
        <v>85.3</v>
      </c>
      <c r="F124" s="6" t="s">
        <v>962</v>
      </c>
      <c r="G124" s="6">
        <f>IFERROR(__xludf.DUMMYFUNCTION("RANK(E124, FILTER($E$2:$E1000, $D$2:$D1000=D124), 0)"),23.0)</f>
        <v>23</v>
      </c>
      <c r="H124" s="9" t="str">
        <f>IF(G124&lt;=VLOOKUP(D124, Interview_Slots!$A$2:$B$5, 2, FALSE), "Allocated", "Not Allocated")</f>
        <v>Allocated</v>
      </c>
    </row>
    <row r="125">
      <c r="A125" s="6" t="s">
        <v>280</v>
      </c>
      <c r="B125" s="6" t="s">
        <v>281</v>
      </c>
      <c r="C125" s="7" t="s">
        <v>65</v>
      </c>
      <c r="D125" s="6" t="s">
        <v>25</v>
      </c>
      <c r="E125" s="9">
        <v>92.55</v>
      </c>
      <c r="F125" s="6" t="s">
        <v>962</v>
      </c>
      <c r="G125" s="6">
        <f>IFERROR(__xludf.DUMMYFUNCTION("RANK(E125, FILTER($E$2:$E1000, $D$2:$D1000=D125), 0)"),2.0)</f>
        <v>2</v>
      </c>
      <c r="H125" s="9" t="str">
        <f>IF(G125&lt;=VLOOKUP(D125, Interview_Slots!$A$2:$B$5, 2, FALSE), "Allocated", "Not Allocated")</f>
        <v>Allocated</v>
      </c>
    </row>
    <row r="126">
      <c r="A126" s="6" t="s">
        <v>282</v>
      </c>
      <c r="B126" s="6" t="s">
        <v>283</v>
      </c>
      <c r="C126" s="7" t="s">
        <v>28</v>
      </c>
      <c r="D126" s="6" t="s">
        <v>17</v>
      </c>
      <c r="E126" s="9">
        <v>87.69999999999999</v>
      </c>
      <c r="F126" s="6" t="s">
        <v>962</v>
      </c>
      <c r="G126" s="6">
        <f>IFERROR(__xludf.DUMMYFUNCTION("RANK(E126, FILTER($E$2:$E1000, $D$2:$D1000=D126), 0)"),14.0)</f>
        <v>14</v>
      </c>
      <c r="H126" s="9" t="str">
        <f>IF(G126&lt;=VLOOKUP(D126, Interview_Slots!$A$2:$B$5, 2, FALSE), "Allocated", "Not Allocated")</f>
        <v>Allocated</v>
      </c>
    </row>
    <row r="127">
      <c r="A127" s="6" t="s">
        <v>284</v>
      </c>
      <c r="B127" s="6" t="s">
        <v>285</v>
      </c>
      <c r="C127" s="7" t="s">
        <v>28</v>
      </c>
      <c r="D127" s="6" t="s">
        <v>32</v>
      </c>
      <c r="E127" s="9">
        <v>70.9</v>
      </c>
      <c r="F127" s="6" t="s">
        <v>962</v>
      </c>
      <c r="G127" s="6">
        <f>IFERROR(__xludf.DUMMYFUNCTION("RANK(E127, FILTER($E$2:$E1000, $D$2:$D1000=D127), 0)"),81.0)</f>
        <v>81</v>
      </c>
      <c r="H127" s="9" t="str">
        <f>IF(G127&lt;=VLOOKUP(D127, Interview_Slots!$A$2:$B$5, 2, FALSE), "Allocated", "Not Allocated")</f>
        <v>Not Allocated</v>
      </c>
    </row>
    <row r="128">
      <c r="A128" s="6" t="s">
        <v>286</v>
      </c>
      <c r="B128" s="6" t="s">
        <v>287</v>
      </c>
      <c r="C128" s="7" t="s">
        <v>28</v>
      </c>
      <c r="D128" s="6" t="s">
        <v>17</v>
      </c>
      <c r="E128" s="9">
        <v>74.75</v>
      </c>
      <c r="F128" s="6" t="s">
        <v>962</v>
      </c>
      <c r="G128" s="6">
        <f>IFERROR(__xludf.DUMMYFUNCTION("RANK(E128, FILTER($E$2:$E1000, $D$2:$D1000=D128), 0)"),81.0)</f>
        <v>81</v>
      </c>
      <c r="H128" s="9" t="str">
        <f>IF(G128&lt;=VLOOKUP(D128, Interview_Slots!$A$2:$B$5, 2, FALSE), "Allocated", "Not Allocated")</f>
        <v>Not Allocated</v>
      </c>
    </row>
    <row r="129">
      <c r="A129" s="6" t="s">
        <v>288</v>
      </c>
      <c r="B129" s="6" t="s">
        <v>289</v>
      </c>
      <c r="C129" s="7" t="s">
        <v>28</v>
      </c>
      <c r="D129" s="6" t="s">
        <v>21</v>
      </c>
      <c r="E129" s="9">
        <v>76.64999999999999</v>
      </c>
      <c r="F129" s="6" t="s">
        <v>963</v>
      </c>
      <c r="G129" s="6">
        <f>IFERROR(__xludf.DUMMYFUNCTION("RANK(E129, FILTER($E$2:$E1000, $D$2:$D1000=D129), 0)"),65.0)</f>
        <v>65</v>
      </c>
      <c r="H129" s="9" t="str">
        <f>IF(G129&lt;=VLOOKUP(D129, Interview_Slots!$A$2:$B$5, 2, FALSE), "Allocated", "Not Allocated")</f>
        <v>Not Allocated</v>
      </c>
    </row>
    <row r="130">
      <c r="A130" s="6" t="s">
        <v>290</v>
      </c>
      <c r="B130" s="6" t="s">
        <v>291</v>
      </c>
      <c r="C130" s="7" t="s">
        <v>41</v>
      </c>
      <c r="D130" s="6" t="s">
        <v>32</v>
      </c>
      <c r="E130" s="9">
        <v>77.55</v>
      </c>
      <c r="F130" s="6" t="s">
        <v>962</v>
      </c>
      <c r="G130" s="6">
        <f>IFERROR(__xludf.DUMMYFUNCTION("RANK(E130, FILTER($E$2:$E1000, $D$2:$D1000=D130), 0)"),53.0)</f>
        <v>53</v>
      </c>
      <c r="H130" s="9" t="str">
        <f>IF(G130&lt;=VLOOKUP(D130, Interview_Slots!$A$2:$B$5, 2, FALSE), "Allocated", "Not Allocated")</f>
        <v>Allocated</v>
      </c>
    </row>
    <row r="131">
      <c r="A131" s="6" t="s">
        <v>292</v>
      </c>
      <c r="B131" s="6" t="s">
        <v>293</v>
      </c>
      <c r="C131" s="7" t="s">
        <v>41</v>
      </c>
      <c r="D131" s="6" t="s">
        <v>25</v>
      </c>
      <c r="E131" s="9">
        <v>91.94999999999999</v>
      </c>
      <c r="F131" s="6" t="s">
        <v>962</v>
      </c>
      <c r="G131" s="6">
        <f>IFERROR(__xludf.DUMMYFUNCTION("RANK(E131, FILTER($E$2:$E1000, $D$2:$D1000=D131), 0)"),4.0)</f>
        <v>4</v>
      </c>
      <c r="H131" s="9" t="str">
        <f>IF(G131&lt;=VLOOKUP(D131, Interview_Slots!$A$2:$B$5, 2, FALSE), "Allocated", "Not Allocated")</f>
        <v>Allocated</v>
      </c>
    </row>
    <row r="132">
      <c r="A132" s="6" t="s">
        <v>294</v>
      </c>
      <c r="B132" s="6" t="s">
        <v>295</v>
      </c>
      <c r="C132" s="7" t="s">
        <v>41</v>
      </c>
      <c r="D132" s="6" t="s">
        <v>17</v>
      </c>
      <c r="E132" s="9">
        <v>77.2</v>
      </c>
      <c r="F132" s="6" t="s">
        <v>962</v>
      </c>
      <c r="G132" s="6">
        <f>IFERROR(__xludf.DUMMYFUNCTION("RANK(E132, FILTER($E$2:$E1000, $D$2:$D1000=D132), 0)"),64.0)</f>
        <v>64</v>
      </c>
      <c r="H132" s="9" t="str">
        <f>IF(G132&lt;=VLOOKUP(D132, Interview_Slots!$A$2:$B$5, 2, FALSE), "Allocated", "Not Allocated")</f>
        <v>Allocated</v>
      </c>
    </row>
    <row r="133">
      <c r="A133" s="6" t="s">
        <v>296</v>
      </c>
      <c r="B133" s="6" t="s">
        <v>297</v>
      </c>
      <c r="C133" s="7" t="s">
        <v>41</v>
      </c>
      <c r="D133" s="6" t="s">
        <v>21</v>
      </c>
      <c r="E133" s="9">
        <v>72.6</v>
      </c>
      <c r="F133" s="6" t="s">
        <v>962</v>
      </c>
      <c r="G133" s="6">
        <f>IFERROR(__xludf.DUMMYFUNCTION("RANK(E133, FILTER($E$2:$E1000, $D$2:$D1000=D133), 0)"),90.0)</f>
        <v>90</v>
      </c>
      <c r="H133" s="9" t="str">
        <f>IF(G133&lt;=VLOOKUP(D133, Interview_Slots!$A$2:$B$5, 2, FALSE), "Allocated", "Not Allocated")</f>
        <v>Not Allocated</v>
      </c>
    </row>
    <row r="134">
      <c r="A134" s="6" t="s">
        <v>298</v>
      </c>
      <c r="B134" s="6" t="s">
        <v>299</v>
      </c>
      <c r="C134" s="7" t="s">
        <v>53</v>
      </c>
      <c r="D134" s="6" t="s">
        <v>21</v>
      </c>
      <c r="E134" s="9">
        <v>77.94999999999999</v>
      </c>
      <c r="F134" s="6" t="s">
        <v>962</v>
      </c>
      <c r="G134" s="6">
        <f>IFERROR(__xludf.DUMMYFUNCTION("RANK(E134, FILTER($E$2:$E1000, $D$2:$D1000=D134), 0)"),57.0)</f>
        <v>57</v>
      </c>
      <c r="H134" s="9" t="str">
        <f>IF(G134&lt;=VLOOKUP(D134, Interview_Slots!$A$2:$B$5, 2, FALSE), "Allocated", "Not Allocated")</f>
        <v>Not Allocated</v>
      </c>
    </row>
    <row r="135">
      <c r="A135" s="6" t="s">
        <v>300</v>
      </c>
      <c r="B135" s="6" t="s">
        <v>301</v>
      </c>
      <c r="C135" s="7" t="s">
        <v>53</v>
      </c>
      <c r="D135" s="6" t="s">
        <v>21</v>
      </c>
      <c r="E135" s="9">
        <v>94.25</v>
      </c>
      <c r="F135" s="6" t="s">
        <v>962</v>
      </c>
      <c r="G135" s="6">
        <f>IFERROR(__xludf.DUMMYFUNCTION("RANK(E135, FILTER($E$2:$E1000, $D$2:$D1000=D135), 0)"),1.0)</f>
        <v>1</v>
      </c>
      <c r="H135" s="9" t="str">
        <f>IF(G135&lt;=VLOOKUP(D135, Interview_Slots!$A$2:$B$5, 2, FALSE), "Allocated", "Not Allocated")</f>
        <v>Allocated</v>
      </c>
    </row>
    <row r="136">
      <c r="A136" s="6" t="s">
        <v>302</v>
      </c>
      <c r="B136" s="6" t="s">
        <v>303</v>
      </c>
      <c r="C136" s="7" t="s">
        <v>53</v>
      </c>
      <c r="D136" s="6" t="s">
        <v>25</v>
      </c>
      <c r="E136" s="9">
        <v>78.9</v>
      </c>
      <c r="F136" s="6" t="s">
        <v>962</v>
      </c>
      <c r="G136" s="6">
        <f>IFERROR(__xludf.DUMMYFUNCTION("RANK(E136, FILTER($E$2:$E1000, $D$2:$D1000=D136), 0)"),52.0)</f>
        <v>52</v>
      </c>
      <c r="H136" s="9" t="str">
        <f>IF(G136&lt;=VLOOKUP(D136, Interview_Slots!$A$2:$B$5, 2, FALSE), "Allocated", "Not Allocated")</f>
        <v>Not Allocated</v>
      </c>
    </row>
    <row r="137">
      <c r="A137" s="6" t="s">
        <v>304</v>
      </c>
      <c r="B137" s="6" t="s">
        <v>305</v>
      </c>
      <c r="C137" s="7" t="s">
        <v>53</v>
      </c>
      <c r="D137" s="6" t="s">
        <v>25</v>
      </c>
      <c r="E137" s="9">
        <v>76.5</v>
      </c>
      <c r="F137" s="6" t="s">
        <v>962</v>
      </c>
      <c r="G137" s="6">
        <f>IFERROR(__xludf.DUMMYFUNCTION("RANK(E137, FILTER($E$2:$E1000, $D$2:$D1000=D137), 0)"),66.0)</f>
        <v>66</v>
      </c>
      <c r="H137" s="9" t="str">
        <f>IF(G137&lt;=VLOOKUP(D137, Interview_Slots!$A$2:$B$5, 2, FALSE), "Allocated", "Not Allocated")</f>
        <v>Not Allocated</v>
      </c>
    </row>
    <row r="138">
      <c r="A138" s="6" t="s">
        <v>306</v>
      </c>
      <c r="B138" s="6" t="s">
        <v>307</v>
      </c>
      <c r="C138" s="7" t="s">
        <v>65</v>
      </c>
      <c r="D138" s="6" t="s">
        <v>25</v>
      </c>
      <c r="E138" s="9">
        <v>65.5</v>
      </c>
      <c r="F138" s="6" t="s">
        <v>963</v>
      </c>
      <c r="G138" s="6">
        <f>IFERROR(__xludf.DUMMYFUNCTION("RANK(E138, FILTER($E$2:$E1000, $D$2:$D1000=D138), 0)"),106.0)</f>
        <v>106</v>
      </c>
      <c r="H138" s="9" t="str">
        <f>IF(G138&lt;=VLOOKUP(D138, Interview_Slots!$A$2:$B$5, 2, FALSE), "Allocated", "Not Allocated")</f>
        <v>Not Allocated</v>
      </c>
    </row>
    <row r="139">
      <c r="A139" s="6" t="s">
        <v>308</v>
      </c>
      <c r="B139" s="6" t="s">
        <v>309</v>
      </c>
      <c r="C139" s="7" t="s">
        <v>65</v>
      </c>
      <c r="D139" s="6" t="s">
        <v>17</v>
      </c>
      <c r="E139" s="9">
        <v>78.05</v>
      </c>
      <c r="F139" s="6" t="s">
        <v>962</v>
      </c>
      <c r="G139" s="6">
        <f>IFERROR(__xludf.DUMMYFUNCTION("RANK(E139, FILTER($E$2:$E1000, $D$2:$D1000=D139), 0)"),59.0)</f>
        <v>59</v>
      </c>
      <c r="H139" s="9" t="str">
        <f>IF(G139&lt;=VLOOKUP(D139, Interview_Slots!$A$2:$B$5, 2, FALSE), "Allocated", "Not Allocated")</f>
        <v>Allocated</v>
      </c>
    </row>
    <row r="140">
      <c r="A140" s="6" t="s">
        <v>310</v>
      </c>
      <c r="B140" s="6" t="s">
        <v>311</v>
      </c>
      <c r="C140" s="7" t="s">
        <v>65</v>
      </c>
      <c r="D140" s="6" t="s">
        <v>21</v>
      </c>
      <c r="E140" s="9">
        <v>81.85</v>
      </c>
      <c r="F140" s="6" t="s">
        <v>962</v>
      </c>
      <c r="G140" s="6">
        <f>IFERROR(__xludf.DUMMYFUNCTION("RANK(E140, FILTER($E$2:$E1000, $D$2:$D1000=D140), 0)"),31.0)</f>
        <v>31</v>
      </c>
      <c r="H140" s="9" t="str">
        <f>IF(G140&lt;=VLOOKUP(D140, Interview_Slots!$A$2:$B$5, 2, FALSE), "Allocated", "Not Allocated")</f>
        <v>Allocated</v>
      </c>
    </row>
    <row r="141">
      <c r="A141" s="6" t="s">
        <v>312</v>
      </c>
      <c r="B141" s="6" t="s">
        <v>313</v>
      </c>
      <c r="C141" s="7" t="s">
        <v>65</v>
      </c>
      <c r="D141" s="6" t="s">
        <v>17</v>
      </c>
      <c r="E141" s="9">
        <v>62.2</v>
      </c>
      <c r="F141" s="6" t="s">
        <v>962</v>
      </c>
      <c r="G141" s="6">
        <f>IFERROR(__xludf.DUMMYFUNCTION("RANK(E141, FILTER($E$2:$E1000, $D$2:$D1000=D141), 0)"),111.0)</f>
        <v>111</v>
      </c>
      <c r="H141" s="9" t="str">
        <f>IF(G141&lt;=VLOOKUP(D141, Interview_Slots!$A$2:$B$5, 2, FALSE), "Allocated", "Not Allocated")</f>
        <v>Not Allocated</v>
      </c>
    </row>
    <row r="142">
      <c r="A142" s="6" t="s">
        <v>314</v>
      </c>
      <c r="B142" s="6" t="s">
        <v>315</v>
      </c>
      <c r="C142" s="7" t="s">
        <v>28</v>
      </c>
      <c r="D142" s="6" t="s">
        <v>21</v>
      </c>
      <c r="E142" s="9">
        <v>79.6</v>
      </c>
      <c r="F142" s="6" t="s">
        <v>963</v>
      </c>
      <c r="G142" s="6">
        <f>IFERROR(__xludf.DUMMYFUNCTION("RANK(E142, FILTER($E$2:$E1000, $D$2:$D1000=D142), 0)"),50.0)</f>
        <v>50</v>
      </c>
      <c r="H142" s="9" t="str">
        <f>IF(G142&lt;=VLOOKUP(D142, Interview_Slots!$A$2:$B$5, 2, FALSE), "Allocated", "Not Allocated")</f>
        <v>Not Allocated</v>
      </c>
    </row>
    <row r="143">
      <c r="A143" s="6" t="s">
        <v>316</v>
      </c>
      <c r="B143" s="6" t="s">
        <v>317</v>
      </c>
      <c r="C143" s="7" t="s">
        <v>28</v>
      </c>
      <c r="D143" s="6" t="s">
        <v>32</v>
      </c>
      <c r="E143" s="9">
        <v>70.69999999999999</v>
      </c>
      <c r="F143" s="6" t="s">
        <v>962</v>
      </c>
      <c r="G143" s="6">
        <f>IFERROR(__xludf.DUMMYFUNCTION("RANK(E143, FILTER($E$2:$E1000, $D$2:$D1000=D143), 0)"),83.0)</f>
        <v>83</v>
      </c>
      <c r="H143" s="9" t="str">
        <f>IF(G143&lt;=VLOOKUP(D143, Interview_Slots!$A$2:$B$5, 2, FALSE), "Allocated", "Not Allocated")</f>
        <v>Not Allocated</v>
      </c>
    </row>
    <row r="144">
      <c r="A144" s="6" t="s">
        <v>318</v>
      </c>
      <c r="B144" s="6" t="s">
        <v>319</v>
      </c>
      <c r="C144" s="7" t="s">
        <v>28</v>
      </c>
      <c r="D144" s="6" t="s">
        <v>32</v>
      </c>
      <c r="E144" s="9">
        <v>61.849999999999994</v>
      </c>
      <c r="F144" s="6" t="s">
        <v>963</v>
      </c>
      <c r="G144" s="6">
        <f>IFERROR(__xludf.DUMMYFUNCTION("RANK(E144, FILTER($E$2:$E1000, $D$2:$D1000=D144), 0)"),104.0)</f>
        <v>104</v>
      </c>
      <c r="H144" s="9" t="str">
        <f>IF(G144&lt;=VLOOKUP(D144, Interview_Slots!$A$2:$B$5, 2, FALSE), "Allocated", "Not Allocated")</f>
        <v>Not Allocated</v>
      </c>
    </row>
    <row r="145">
      <c r="A145" s="6" t="s">
        <v>320</v>
      </c>
      <c r="B145" s="6" t="s">
        <v>321</v>
      </c>
      <c r="C145" s="7" t="s">
        <v>28</v>
      </c>
      <c r="D145" s="6" t="s">
        <v>17</v>
      </c>
      <c r="E145" s="9">
        <v>79.0</v>
      </c>
      <c r="F145" s="6" t="s">
        <v>962</v>
      </c>
      <c r="G145" s="6">
        <f>IFERROR(__xludf.DUMMYFUNCTION("RANK(E145, FILTER($E$2:$E1000, $D$2:$D1000=D145), 0)"),56.0)</f>
        <v>56</v>
      </c>
      <c r="H145" s="9" t="str">
        <f>IF(G145&lt;=VLOOKUP(D145, Interview_Slots!$A$2:$B$5, 2, FALSE), "Allocated", "Not Allocated")</f>
        <v>Allocated</v>
      </c>
    </row>
    <row r="146">
      <c r="A146" s="6" t="s">
        <v>322</v>
      </c>
      <c r="B146" s="6" t="s">
        <v>323</v>
      </c>
      <c r="C146" s="7" t="s">
        <v>41</v>
      </c>
      <c r="D146" s="6" t="s">
        <v>21</v>
      </c>
      <c r="E146" s="9">
        <v>79.05</v>
      </c>
      <c r="F146" s="6" t="s">
        <v>962</v>
      </c>
      <c r="G146" s="6">
        <f>IFERROR(__xludf.DUMMYFUNCTION("RANK(E146, FILTER($E$2:$E1000, $D$2:$D1000=D146), 0)"),52.0)</f>
        <v>52</v>
      </c>
      <c r="H146" s="9" t="str">
        <f>IF(G146&lt;=VLOOKUP(D146, Interview_Slots!$A$2:$B$5, 2, FALSE), "Allocated", "Not Allocated")</f>
        <v>Not Allocated</v>
      </c>
    </row>
    <row r="147">
      <c r="A147" s="6" t="s">
        <v>324</v>
      </c>
      <c r="B147" s="6" t="s">
        <v>325</v>
      </c>
      <c r="C147" s="7" t="s">
        <v>41</v>
      </c>
      <c r="D147" s="6" t="s">
        <v>21</v>
      </c>
      <c r="E147" s="9">
        <v>79.4</v>
      </c>
      <c r="F147" s="6" t="s">
        <v>962</v>
      </c>
      <c r="G147" s="6">
        <f>IFERROR(__xludf.DUMMYFUNCTION("RANK(E147, FILTER($E$2:$E1000, $D$2:$D1000=D147), 0)"),51.0)</f>
        <v>51</v>
      </c>
      <c r="H147" s="9" t="str">
        <f>IF(G147&lt;=VLOOKUP(D147, Interview_Slots!$A$2:$B$5, 2, FALSE), "Allocated", "Not Allocated")</f>
        <v>Not Allocated</v>
      </c>
    </row>
    <row r="148">
      <c r="A148" s="6" t="s">
        <v>326</v>
      </c>
      <c r="B148" s="6" t="s">
        <v>327</v>
      </c>
      <c r="C148" s="7" t="s">
        <v>41</v>
      </c>
      <c r="D148" s="6" t="s">
        <v>32</v>
      </c>
      <c r="E148" s="9">
        <v>88.55</v>
      </c>
      <c r="F148" s="6" t="s">
        <v>962</v>
      </c>
      <c r="G148" s="6">
        <f>IFERROR(__xludf.DUMMYFUNCTION("RANK(E148, FILTER($E$2:$E1000, $D$2:$D1000=D148), 0)"),9.0)</f>
        <v>9</v>
      </c>
      <c r="H148" s="9" t="str">
        <f>IF(G148&lt;=VLOOKUP(D148, Interview_Slots!$A$2:$B$5, 2, FALSE), "Allocated", "Not Allocated")</f>
        <v>Allocated</v>
      </c>
    </row>
    <row r="149">
      <c r="A149" s="6" t="s">
        <v>328</v>
      </c>
      <c r="B149" s="6" t="s">
        <v>329</v>
      </c>
      <c r="C149" s="7" t="s">
        <v>41</v>
      </c>
      <c r="D149" s="6" t="s">
        <v>25</v>
      </c>
      <c r="E149" s="9">
        <v>70.44999999999999</v>
      </c>
      <c r="F149" s="6" t="s">
        <v>963</v>
      </c>
      <c r="G149" s="6">
        <f>IFERROR(__xludf.DUMMYFUNCTION("RANK(E149, FILTER($E$2:$E1000, $D$2:$D1000=D149), 0)"),95.0)</f>
        <v>95</v>
      </c>
      <c r="H149" s="9" t="str">
        <f>IF(G149&lt;=VLOOKUP(D149, Interview_Slots!$A$2:$B$5, 2, FALSE), "Allocated", "Not Allocated")</f>
        <v>Not Allocated</v>
      </c>
    </row>
    <row r="150">
      <c r="A150" s="6" t="s">
        <v>330</v>
      </c>
      <c r="B150" s="6" t="s">
        <v>331</v>
      </c>
      <c r="C150" s="7" t="s">
        <v>53</v>
      </c>
      <c r="D150" s="6" t="s">
        <v>25</v>
      </c>
      <c r="E150" s="9">
        <v>89.19999999999999</v>
      </c>
      <c r="F150" s="6" t="s">
        <v>963</v>
      </c>
      <c r="G150" s="6">
        <f>IFERROR(__xludf.DUMMYFUNCTION("RANK(E150, FILTER($E$2:$E1000, $D$2:$D1000=D150), 0)"),11.0)</f>
        <v>11</v>
      </c>
      <c r="H150" s="9" t="str">
        <f>IF(G150&lt;=VLOOKUP(D150, Interview_Slots!$A$2:$B$5, 2, FALSE), "Allocated", "Not Allocated")</f>
        <v>Allocated</v>
      </c>
    </row>
    <row r="151">
      <c r="A151" s="6" t="s">
        <v>332</v>
      </c>
      <c r="B151" s="6" t="s">
        <v>333</v>
      </c>
      <c r="C151" s="7" t="s">
        <v>53</v>
      </c>
      <c r="D151" s="6" t="s">
        <v>25</v>
      </c>
      <c r="E151" s="9">
        <v>85.25</v>
      </c>
      <c r="F151" s="6" t="s">
        <v>963</v>
      </c>
      <c r="G151" s="6">
        <f>IFERROR(__xludf.DUMMYFUNCTION("RANK(E151, FILTER($E$2:$E1000, $D$2:$D1000=D151), 0)"),24.0)</f>
        <v>24</v>
      </c>
      <c r="H151" s="9" t="str">
        <f>IF(G151&lt;=VLOOKUP(D151, Interview_Slots!$A$2:$B$5, 2, FALSE), "Allocated", "Not Allocated")</f>
        <v>Allocated</v>
      </c>
    </row>
    <row r="152">
      <c r="A152" s="6" t="s">
        <v>334</v>
      </c>
      <c r="B152" s="6" t="s">
        <v>335</v>
      </c>
      <c r="C152" s="7" t="s">
        <v>53</v>
      </c>
      <c r="D152" s="6" t="s">
        <v>32</v>
      </c>
      <c r="E152" s="9">
        <v>85.9</v>
      </c>
      <c r="F152" s="6" t="s">
        <v>962</v>
      </c>
      <c r="G152" s="6">
        <f>IFERROR(__xludf.DUMMYFUNCTION("RANK(E152, FILTER($E$2:$E1000, $D$2:$D1000=D152), 0)"),21.0)</f>
        <v>21</v>
      </c>
      <c r="H152" s="9" t="str">
        <f>IF(G152&lt;=VLOOKUP(D152, Interview_Slots!$A$2:$B$5, 2, FALSE), "Allocated", "Not Allocated")</f>
        <v>Allocated</v>
      </c>
    </row>
    <row r="153">
      <c r="A153" s="6" t="s">
        <v>336</v>
      </c>
      <c r="B153" s="6" t="s">
        <v>337</v>
      </c>
      <c r="C153" s="7" t="s">
        <v>53</v>
      </c>
      <c r="D153" s="6" t="s">
        <v>32</v>
      </c>
      <c r="E153" s="9">
        <v>68.55</v>
      </c>
      <c r="F153" s="6" t="s">
        <v>962</v>
      </c>
      <c r="G153" s="6">
        <f>IFERROR(__xludf.DUMMYFUNCTION("RANK(E153, FILTER($E$2:$E1000, $D$2:$D1000=D153), 0)"),93.0)</f>
        <v>93</v>
      </c>
      <c r="H153" s="9" t="str">
        <f>IF(G153&lt;=VLOOKUP(D153, Interview_Slots!$A$2:$B$5, 2, FALSE), "Allocated", "Not Allocated")</f>
        <v>Not Allocated</v>
      </c>
    </row>
    <row r="154">
      <c r="A154" s="6" t="s">
        <v>338</v>
      </c>
      <c r="B154" s="6" t="s">
        <v>339</v>
      </c>
      <c r="C154" s="7" t="s">
        <v>65</v>
      </c>
      <c r="D154" s="6" t="s">
        <v>17</v>
      </c>
      <c r="E154" s="9">
        <v>80.35</v>
      </c>
      <c r="F154" s="6" t="s">
        <v>962</v>
      </c>
      <c r="G154" s="6">
        <f>IFERROR(__xludf.DUMMYFUNCTION("RANK(E154, FILTER($E$2:$E1000, $D$2:$D1000=D154), 0)"),49.0)</f>
        <v>49</v>
      </c>
      <c r="H154" s="9" t="str">
        <f>IF(G154&lt;=VLOOKUP(D154, Interview_Slots!$A$2:$B$5, 2, FALSE), "Allocated", "Not Allocated")</f>
        <v>Allocated</v>
      </c>
    </row>
    <row r="155">
      <c r="A155" s="6" t="s">
        <v>340</v>
      </c>
      <c r="B155" s="6" t="s">
        <v>341</v>
      </c>
      <c r="C155" s="7" t="s">
        <v>65</v>
      </c>
      <c r="D155" s="6" t="s">
        <v>21</v>
      </c>
      <c r="E155" s="9">
        <v>64.25</v>
      </c>
      <c r="F155" s="6" t="s">
        <v>963</v>
      </c>
      <c r="G155" s="6">
        <f>IFERROR(__xludf.DUMMYFUNCTION("RANK(E155, FILTER($E$2:$E1000, $D$2:$D1000=D155), 0)"),129.0)</f>
        <v>129</v>
      </c>
      <c r="H155" s="9" t="str">
        <f>IF(G155&lt;=VLOOKUP(D155, Interview_Slots!$A$2:$B$5, 2, FALSE), "Allocated", "Not Allocated")</f>
        <v>Not Allocated</v>
      </c>
    </row>
    <row r="156">
      <c r="A156" s="6" t="s">
        <v>342</v>
      </c>
      <c r="B156" s="6" t="s">
        <v>343</v>
      </c>
      <c r="C156" s="7" t="s">
        <v>65</v>
      </c>
      <c r="D156" s="6" t="s">
        <v>17</v>
      </c>
      <c r="E156" s="9">
        <v>90.4</v>
      </c>
      <c r="F156" s="6" t="s">
        <v>962</v>
      </c>
      <c r="G156" s="6">
        <f>IFERROR(__xludf.DUMMYFUNCTION("RANK(E156, FILTER($E$2:$E1000, $D$2:$D1000=D156), 0)"),7.0)</f>
        <v>7</v>
      </c>
      <c r="H156" s="9" t="str">
        <f>IF(G156&lt;=VLOOKUP(D156, Interview_Slots!$A$2:$B$5, 2, FALSE), "Allocated", "Not Allocated")</f>
        <v>Allocated</v>
      </c>
    </row>
    <row r="157">
      <c r="A157" s="6" t="s">
        <v>344</v>
      </c>
      <c r="B157" s="6" t="s">
        <v>345</v>
      </c>
      <c r="C157" s="7" t="s">
        <v>28</v>
      </c>
      <c r="D157" s="6" t="s">
        <v>32</v>
      </c>
      <c r="E157" s="9">
        <v>66.3</v>
      </c>
      <c r="F157" s="6" t="s">
        <v>962</v>
      </c>
      <c r="G157" s="6">
        <f>IFERROR(__xludf.DUMMYFUNCTION("RANK(E157, FILTER($E$2:$E1000, $D$2:$D1000=D157), 0)"),102.0)</f>
        <v>102</v>
      </c>
      <c r="H157" s="9" t="str">
        <f>IF(G157&lt;=VLOOKUP(D157, Interview_Slots!$A$2:$B$5, 2, FALSE), "Allocated", "Not Allocated")</f>
        <v>Not Allocated</v>
      </c>
    </row>
    <row r="158">
      <c r="A158" s="6" t="s">
        <v>346</v>
      </c>
      <c r="B158" s="6" t="s">
        <v>347</v>
      </c>
      <c r="C158" s="7" t="s">
        <v>28</v>
      </c>
      <c r="D158" s="6" t="s">
        <v>17</v>
      </c>
      <c r="E158" s="9">
        <v>83.55</v>
      </c>
      <c r="F158" s="6" t="s">
        <v>962</v>
      </c>
      <c r="G158" s="6">
        <f>IFERROR(__xludf.DUMMYFUNCTION("RANK(E158, FILTER($E$2:$E1000, $D$2:$D1000=D158), 0)"),31.0)</f>
        <v>31</v>
      </c>
      <c r="H158" s="9" t="str">
        <f>IF(G158&lt;=VLOOKUP(D158, Interview_Slots!$A$2:$B$5, 2, FALSE), "Allocated", "Not Allocated")</f>
        <v>Allocated</v>
      </c>
    </row>
    <row r="159">
      <c r="A159" s="6" t="s">
        <v>348</v>
      </c>
      <c r="B159" s="6" t="s">
        <v>349</v>
      </c>
      <c r="C159" s="7" t="s">
        <v>28</v>
      </c>
      <c r="D159" s="6" t="s">
        <v>21</v>
      </c>
      <c r="E159" s="9">
        <v>82.6</v>
      </c>
      <c r="F159" s="6" t="s">
        <v>963</v>
      </c>
      <c r="G159" s="6">
        <f>IFERROR(__xludf.DUMMYFUNCTION("RANK(E159, FILTER($E$2:$E1000, $D$2:$D1000=D159), 0)"),26.0)</f>
        <v>26</v>
      </c>
      <c r="H159" s="9" t="str">
        <f>IF(G159&lt;=VLOOKUP(D159, Interview_Slots!$A$2:$B$5, 2, FALSE), "Allocated", "Not Allocated")</f>
        <v>Allocated</v>
      </c>
    </row>
    <row r="160">
      <c r="A160" s="6" t="s">
        <v>350</v>
      </c>
      <c r="B160" s="6" t="s">
        <v>351</v>
      </c>
      <c r="C160" s="7" t="s">
        <v>28</v>
      </c>
      <c r="D160" s="6" t="s">
        <v>21</v>
      </c>
      <c r="E160" s="9">
        <v>66.9</v>
      </c>
      <c r="F160" s="6" t="s">
        <v>963</v>
      </c>
      <c r="G160" s="6">
        <f>IFERROR(__xludf.DUMMYFUNCTION("RANK(E160, FILTER($E$2:$E1000, $D$2:$D1000=D160), 0)"),119.0)</f>
        <v>119</v>
      </c>
      <c r="H160" s="9" t="str">
        <f>IF(G160&lt;=VLOOKUP(D160, Interview_Slots!$A$2:$B$5, 2, FALSE), "Allocated", "Not Allocated")</f>
        <v>Not Allocated</v>
      </c>
    </row>
    <row r="161">
      <c r="A161" s="6" t="s">
        <v>352</v>
      </c>
      <c r="B161" s="6" t="s">
        <v>353</v>
      </c>
      <c r="C161" s="7" t="s">
        <v>41</v>
      </c>
      <c r="D161" s="6" t="s">
        <v>21</v>
      </c>
      <c r="E161" s="9">
        <v>70.69999999999999</v>
      </c>
      <c r="F161" s="6" t="s">
        <v>963</v>
      </c>
      <c r="G161" s="6">
        <f>IFERROR(__xludf.DUMMYFUNCTION("RANK(E161, FILTER($E$2:$E1000, $D$2:$D1000=D161), 0)"),101.0)</f>
        <v>101</v>
      </c>
      <c r="H161" s="9" t="str">
        <f>IF(G161&lt;=VLOOKUP(D161, Interview_Slots!$A$2:$B$5, 2, FALSE), "Allocated", "Not Allocated")</f>
        <v>Not Allocated</v>
      </c>
    </row>
    <row r="162">
      <c r="A162" s="6" t="s">
        <v>354</v>
      </c>
      <c r="B162" s="6" t="s">
        <v>355</v>
      </c>
      <c r="C162" s="7" t="s">
        <v>41</v>
      </c>
      <c r="D162" s="6" t="s">
        <v>25</v>
      </c>
      <c r="E162" s="9">
        <v>75.35</v>
      </c>
      <c r="F162" s="6" t="s">
        <v>962</v>
      </c>
      <c r="G162" s="6">
        <f>IFERROR(__xludf.DUMMYFUNCTION("RANK(E162, FILTER($E$2:$E1000, $D$2:$D1000=D162), 0)"),72.0)</f>
        <v>72</v>
      </c>
      <c r="H162" s="9" t="str">
        <f>IF(G162&lt;=VLOOKUP(D162, Interview_Slots!$A$2:$B$5, 2, FALSE), "Allocated", "Not Allocated")</f>
        <v>Not Allocated</v>
      </c>
    </row>
    <row r="163">
      <c r="A163" s="6" t="s">
        <v>356</v>
      </c>
      <c r="B163" s="6" t="s">
        <v>357</v>
      </c>
      <c r="C163" s="7" t="s">
        <v>41</v>
      </c>
      <c r="D163" s="6" t="s">
        <v>25</v>
      </c>
      <c r="E163" s="9">
        <v>82.94999999999999</v>
      </c>
      <c r="F163" s="6" t="s">
        <v>963</v>
      </c>
      <c r="G163" s="6">
        <f>IFERROR(__xludf.DUMMYFUNCTION("RANK(E163, FILTER($E$2:$E1000, $D$2:$D1000=D163), 0)"),34.0)</f>
        <v>34</v>
      </c>
      <c r="H163" s="9" t="str">
        <f>IF(G163&lt;=VLOOKUP(D163, Interview_Slots!$A$2:$B$5, 2, FALSE), "Allocated", "Not Allocated")</f>
        <v>Not Allocated</v>
      </c>
    </row>
    <row r="164">
      <c r="A164" s="6" t="s">
        <v>358</v>
      </c>
      <c r="B164" s="6" t="s">
        <v>359</v>
      </c>
      <c r="C164" s="7" t="s">
        <v>41</v>
      </c>
      <c r="D164" s="6" t="s">
        <v>25</v>
      </c>
      <c r="E164" s="9">
        <v>71.44999999999999</v>
      </c>
      <c r="F164" s="6" t="s">
        <v>963</v>
      </c>
      <c r="G164" s="6">
        <f>IFERROR(__xludf.DUMMYFUNCTION("RANK(E164, FILTER($E$2:$E1000, $D$2:$D1000=D164), 0)"),88.0)</f>
        <v>88</v>
      </c>
      <c r="H164" s="9" t="str">
        <f>IF(G164&lt;=VLOOKUP(D164, Interview_Slots!$A$2:$B$5, 2, FALSE), "Allocated", "Not Allocated")</f>
        <v>Not Allocated</v>
      </c>
    </row>
    <row r="165">
      <c r="A165" s="6" t="s">
        <v>360</v>
      </c>
      <c r="B165" s="6" t="s">
        <v>361</v>
      </c>
      <c r="C165" s="7" t="s">
        <v>53</v>
      </c>
      <c r="D165" s="6" t="s">
        <v>17</v>
      </c>
      <c r="E165" s="9">
        <v>84.65</v>
      </c>
      <c r="F165" s="6" t="s">
        <v>962</v>
      </c>
      <c r="G165" s="6">
        <f>IFERROR(__xludf.DUMMYFUNCTION("RANK(E165, FILTER($E$2:$E1000, $D$2:$D1000=D165), 0)"),25.0)</f>
        <v>25</v>
      </c>
      <c r="H165" s="9" t="str">
        <f>IF(G165&lt;=VLOOKUP(D165, Interview_Slots!$A$2:$B$5, 2, FALSE), "Allocated", "Not Allocated")</f>
        <v>Allocated</v>
      </c>
    </row>
    <row r="166">
      <c r="A166" s="6" t="s">
        <v>362</v>
      </c>
      <c r="B166" s="6" t="s">
        <v>363</v>
      </c>
      <c r="C166" s="7" t="s">
        <v>53</v>
      </c>
      <c r="D166" s="6" t="s">
        <v>32</v>
      </c>
      <c r="E166" s="9">
        <v>81.2</v>
      </c>
      <c r="F166" s="6" t="s">
        <v>962</v>
      </c>
      <c r="G166" s="6">
        <f>IFERROR(__xludf.DUMMYFUNCTION("RANK(E166, FILTER($E$2:$E1000, $D$2:$D1000=D166), 0)"),43.0)</f>
        <v>43</v>
      </c>
      <c r="H166" s="9" t="str">
        <f>IF(G166&lt;=VLOOKUP(D166, Interview_Slots!$A$2:$B$5, 2, FALSE), "Allocated", "Not Allocated")</f>
        <v>Allocated</v>
      </c>
    </row>
    <row r="167">
      <c r="A167" s="6" t="s">
        <v>364</v>
      </c>
      <c r="B167" s="6" t="s">
        <v>365</v>
      </c>
      <c r="C167" s="7" t="s">
        <v>53</v>
      </c>
      <c r="D167" s="6" t="s">
        <v>32</v>
      </c>
      <c r="E167" s="9">
        <v>86.25</v>
      </c>
      <c r="F167" s="6" t="s">
        <v>962</v>
      </c>
      <c r="G167" s="6">
        <f>IFERROR(__xludf.DUMMYFUNCTION("RANK(E167, FILTER($E$2:$E1000, $D$2:$D1000=D167), 0)"),20.0)</f>
        <v>20</v>
      </c>
      <c r="H167" s="9" t="str">
        <f>IF(G167&lt;=VLOOKUP(D167, Interview_Slots!$A$2:$B$5, 2, FALSE), "Allocated", "Not Allocated")</f>
        <v>Allocated</v>
      </c>
    </row>
    <row r="168">
      <c r="A168" s="6" t="s">
        <v>366</v>
      </c>
      <c r="B168" s="6" t="s">
        <v>367</v>
      </c>
      <c r="C168" s="7" t="s">
        <v>53</v>
      </c>
      <c r="D168" s="6" t="s">
        <v>21</v>
      </c>
      <c r="E168" s="9">
        <v>81.0</v>
      </c>
      <c r="F168" s="6" t="s">
        <v>963</v>
      </c>
      <c r="G168" s="6">
        <f>IFERROR(__xludf.DUMMYFUNCTION("RANK(E168, FILTER($E$2:$E1000, $D$2:$D1000=D168), 0)"),36.0)</f>
        <v>36</v>
      </c>
      <c r="H168" s="9" t="str">
        <f>IF(G168&lt;=VLOOKUP(D168, Interview_Slots!$A$2:$B$5, 2, FALSE), "Allocated", "Not Allocated")</f>
        <v>Allocated</v>
      </c>
    </row>
    <row r="169">
      <c r="A169" s="6" t="s">
        <v>368</v>
      </c>
      <c r="B169" s="6" t="s">
        <v>369</v>
      </c>
      <c r="C169" s="7" t="s">
        <v>65</v>
      </c>
      <c r="D169" s="6" t="s">
        <v>32</v>
      </c>
      <c r="E169" s="9">
        <v>84.4</v>
      </c>
      <c r="F169" s="6" t="s">
        <v>962</v>
      </c>
      <c r="G169" s="6">
        <f>IFERROR(__xludf.DUMMYFUNCTION("RANK(E169, FILTER($E$2:$E1000, $D$2:$D1000=D169), 0)"),27.0)</f>
        <v>27</v>
      </c>
      <c r="H169" s="9" t="str">
        <f>IF(G169&lt;=VLOOKUP(D169, Interview_Slots!$A$2:$B$5, 2, FALSE), "Allocated", "Not Allocated")</f>
        <v>Allocated</v>
      </c>
    </row>
    <row r="170">
      <c r="A170" s="6" t="s">
        <v>370</v>
      </c>
      <c r="B170" s="6" t="s">
        <v>371</v>
      </c>
      <c r="C170" s="7" t="s">
        <v>65</v>
      </c>
      <c r="D170" s="6" t="s">
        <v>32</v>
      </c>
      <c r="E170" s="9">
        <v>67.45</v>
      </c>
      <c r="F170" s="6" t="s">
        <v>962</v>
      </c>
      <c r="G170" s="6">
        <f>IFERROR(__xludf.DUMMYFUNCTION("RANK(E170, FILTER($E$2:$E1000, $D$2:$D1000=D170), 0)"),99.0)</f>
        <v>99</v>
      </c>
      <c r="H170" s="9" t="str">
        <f>IF(G170&lt;=VLOOKUP(D170, Interview_Slots!$A$2:$B$5, 2, FALSE), "Allocated", "Not Allocated")</f>
        <v>Not Allocated</v>
      </c>
    </row>
    <row r="171">
      <c r="A171" s="6" t="s">
        <v>372</v>
      </c>
      <c r="B171" s="6" t="s">
        <v>373</v>
      </c>
      <c r="C171" s="7" t="s">
        <v>65</v>
      </c>
      <c r="D171" s="6" t="s">
        <v>17</v>
      </c>
      <c r="E171" s="9">
        <v>77.55</v>
      </c>
      <c r="F171" s="6" t="s">
        <v>962</v>
      </c>
      <c r="G171" s="6">
        <f>IFERROR(__xludf.DUMMYFUNCTION("RANK(E171, FILTER($E$2:$E1000, $D$2:$D1000=D171), 0)"),61.0)</f>
        <v>61</v>
      </c>
      <c r="H171" s="9" t="str">
        <f>IF(G171&lt;=VLOOKUP(D171, Interview_Slots!$A$2:$B$5, 2, FALSE), "Allocated", "Not Allocated")</f>
        <v>Allocated</v>
      </c>
    </row>
    <row r="172">
      <c r="A172" s="6" t="s">
        <v>374</v>
      </c>
      <c r="B172" s="6" t="s">
        <v>375</v>
      </c>
      <c r="C172" s="7" t="s">
        <v>65</v>
      </c>
      <c r="D172" s="6" t="s">
        <v>21</v>
      </c>
      <c r="E172" s="9">
        <v>74.05</v>
      </c>
      <c r="F172" s="6" t="s">
        <v>962</v>
      </c>
      <c r="G172" s="6">
        <f>IFERROR(__xludf.DUMMYFUNCTION("RANK(E172, FILTER($E$2:$E1000, $D$2:$D1000=D172), 0)"),80.0)</f>
        <v>80</v>
      </c>
      <c r="H172" s="9" t="str">
        <f>IF(G172&lt;=VLOOKUP(D172, Interview_Slots!$A$2:$B$5, 2, FALSE), "Allocated", "Not Allocated")</f>
        <v>Not Allocated</v>
      </c>
    </row>
    <row r="173">
      <c r="A173" s="6" t="s">
        <v>376</v>
      </c>
      <c r="B173" s="6" t="s">
        <v>377</v>
      </c>
      <c r="C173" s="7" t="s">
        <v>28</v>
      </c>
      <c r="D173" s="6" t="s">
        <v>21</v>
      </c>
      <c r="E173" s="9">
        <v>73.8</v>
      </c>
      <c r="F173" s="6" t="s">
        <v>962</v>
      </c>
      <c r="G173" s="6">
        <f>IFERROR(__xludf.DUMMYFUNCTION("RANK(E173, FILTER($E$2:$E1000, $D$2:$D1000=D173), 0)"),83.0)</f>
        <v>83</v>
      </c>
      <c r="H173" s="9" t="str">
        <f>IF(G173&lt;=VLOOKUP(D173, Interview_Slots!$A$2:$B$5, 2, FALSE), "Allocated", "Not Allocated")</f>
        <v>Not Allocated</v>
      </c>
    </row>
    <row r="174">
      <c r="A174" s="6" t="s">
        <v>378</v>
      </c>
      <c r="B174" s="6" t="s">
        <v>379</v>
      </c>
      <c r="C174" s="7" t="s">
        <v>28</v>
      </c>
      <c r="D174" s="6" t="s">
        <v>21</v>
      </c>
      <c r="E174" s="9">
        <v>80.65</v>
      </c>
      <c r="F174" s="6" t="s">
        <v>962</v>
      </c>
      <c r="G174" s="6">
        <f>IFERROR(__xludf.DUMMYFUNCTION("RANK(E174, FILTER($E$2:$E1000, $D$2:$D1000=D174), 0)"),40.0)</f>
        <v>40</v>
      </c>
      <c r="H174" s="9" t="str">
        <f>IF(G174&lt;=VLOOKUP(D174, Interview_Slots!$A$2:$B$5, 2, FALSE), "Allocated", "Not Allocated")</f>
        <v>Allocated</v>
      </c>
    </row>
    <row r="175">
      <c r="A175" s="6" t="s">
        <v>380</v>
      </c>
      <c r="B175" s="6" t="s">
        <v>381</v>
      </c>
      <c r="C175" s="7" t="s">
        <v>28</v>
      </c>
      <c r="D175" s="6" t="s">
        <v>25</v>
      </c>
      <c r="E175" s="9">
        <v>82.0</v>
      </c>
      <c r="F175" s="6" t="s">
        <v>963</v>
      </c>
      <c r="G175" s="6">
        <f>IFERROR(__xludf.DUMMYFUNCTION("RANK(E175, FILTER($E$2:$E1000, $D$2:$D1000=D175), 0)"),38.0)</f>
        <v>38</v>
      </c>
      <c r="H175" s="9" t="str">
        <f>IF(G175&lt;=VLOOKUP(D175, Interview_Slots!$A$2:$B$5, 2, FALSE), "Allocated", "Not Allocated")</f>
        <v>Not Allocated</v>
      </c>
    </row>
    <row r="176">
      <c r="A176" s="6" t="s">
        <v>382</v>
      </c>
      <c r="B176" s="6" t="s">
        <v>383</v>
      </c>
      <c r="C176" s="7" t="s">
        <v>28</v>
      </c>
      <c r="D176" s="6" t="s">
        <v>25</v>
      </c>
      <c r="E176" s="9">
        <v>70.2</v>
      </c>
      <c r="F176" s="6" t="s">
        <v>963</v>
      </c>
      <c r="G176" s="6">
        <f>IFERROR(__xludf.DUMMYFUNCTION("RANK(E176, FILTER($E$2:$E1000, $D$2:$D1000=D176), 0)"),97.0)</f>
        <v>97</v>
      </c>
      <c r="H176" s="9" t="str">
        <f>IF(G176&lt;=VLOOKUP(D176, Interview_Slots!$A$2:$B$5, 2, FALSE), "Allocated", "Not Allocated")</f>
        <v>Not Allocated</v>
      </c>
    </row>
    <row r="177">
      <c r="A177" s="6" t="s">
        <v>384</v>
      </c>
      <c r="B177" s="6" t="s">
        <v>385</v>
      </c>
      <c r="C177" s="7" t="s">
        <v>41</v>
      </c>
      <c r="D177" s="6" t="s">
        <v>17</v>
      </c>
      <c r="E177" s="9">
        <v>80.7</v>
      </c>
      <c r="F177" s="6" t="s">
        <v>962</v>
      </c>
      <c r="G177" s="6">
        <f>IFERROR(__xludf.DUMMYFUNCTION("RANK(E177, FILTER($E$2:$E1000, $D$2:$D1000=D177), 0)"),46.0)</f>
        <v>46</v>
      </c>
      <c r="H177" s="9" t="str">
        <f>IF(G177&lt;=VLOOKUP(D177, Interview_Slots!$A$2:$B$5, 2, FALSE), "Allocated", "Not Allocated")</f>
        <v>Allocated</v>
      </c>
    </row>
    <row r="178">
      <c r="A178" s="6" t="s">
        <v>386</v>
      </c>
      <c r="B178" s="6" t="s">
        <v>387</v>
      </c>
      <c r="C178" s="7" t="s">
        <v>41</v>
      </c>
      <c r="D178" s="6" t="s">
        <v>17</v>
      </c>
      <c r="E178" s="9">
        <v>75.25</v>
      </c>
      <c r="F178" s="6" t="s">
        <v>962</v>
      </c>
      <c r="G178" s="6">
        <f>IFERROR(__xludf.DUMMYFUNCTION("RANK(E178, FILTER($E$2:$E1000, $D$2:$D1000=D178), 0)"),78.0)</f>
        <v>78</v>
      </c>
      <c r="H178" s="9" t="str">
        <f>IF(G178&lt;=VLOOKUP(D178, Interview_Slots!$A$2:$B$5, 2, FALSE), "Allocated", "Not Allocated")</f>
        <v>Allocated</v>
      </c>
    </row>
    <row r="179">
      <c r="A179" s="6" t="s">
        <v>388</v>
      </c>
      <c r="B179" s="6" t="s">
        <v>389</v>
      </c>
      <c r="C179" s="7" t="s">
        <v>41</v>
      </c>
      <c r="D179" s="6" t="s">
        <v>32</v>
      </c>
      <c r="E179" s="9">
        <v>67.5</v>
      </c>
      <c r="F179" s="6" t="s">
        <v>962</v>
      </c>
      <c r="G179" s="6">
        <f>IFERROR(__xludf.DUMMYFUNCTION("RANK(E179, FILTER($E$2:$E1000, $D$2:$D1000=D179), 0)"),98.0)</f>
        <v>98</v>
      </c>
      <c r="H179" s="9" t="str">
        <f>IF(G179&lt;=VLOOKUP(D179, Interview_Slots!$A$2:$B$5, 2, FALSE), "Allocated", "Not Allocated")</f>
        <v>Not Allocated</v>
      </c>
    </row>
    <row r="180">
      <c r="A180" s="6" t="s">
        <v>390</v>
      </c>
      <c r="B180" s="6" t="s">
        <v>391</v>
      </c>
      <c r="C180" s="7" t="s">
        <v>41</v>
      </c>
      <c r="D180" s="6" t="s">
        <v>17</v>
      </c>
      <c r="E180" s="9">
        <v>81.75</v>
      </c>
      <c r="F180" s="6" t="s">
        <v>962</v>
      </c>
      <c r="G180" s="6">
        <f>IFERROR(__xludf.DUMMYFUNCTION("RANK(E180, FILTER($E$2:$E1000, $D$2:$D1000=D180), 0)"),41.0)</f>
        <v>41</v>
      </c>
      <c r="H180" s="9" t="str">
        <f>IF(G180&lt;=VLOOKUP(D180, Interview_Slots!$A$2:$B$5, 2, FALSE), "Allocated", "Not Allocated")</f>
        <v>Allocated</v>
      </c>
    </row>
    <row r="181">
      <c r="A181" s="6" t="s">
        <v>392</v>
      </c>
      <c r="B181" s="6" t="s">
        <v>393</v>
      </c>
      <c r="C181" s="7" t="s">
        <v>53</v>
      </c>
      <c r="D181" s="6" t="s">
        <v>21</v>
      </c>
      <c r="E181" s="9">
        <v>67.55</v>
      </c>
      <c r="F181" s="6" t="s">
        <v>963</v>
      </c>
      <c r="G181" s="6">
        <f>IFERROR(__xludf.DUMMYFUNCTION("RANK(E181, FILTER($E$2:$E1000, $D$2:$D1000=D181), 0)"),115.0)</f>
        <v>115</v>
      </c>
      <c r="H181" s="9" t="str">
        <f>IF(G181&lt;=VLOOKUP(D181, Interview_Slots!$A$2:$B$5, 2, FALSE), "Allocated", "Not Allocated")</f>
        <v>Not Allocated</v>
      </c>
    </row>
    <row r="182">
      <c r="A182" s="6" t="s">
        <v>394</v>
      </c>
      <c r="B182" s="6" t="s">
        <v>395</v>
      </c>
      <c r="C182" s="7" t="s">
        <v>53</v>
      </c>
      <c r="D182" s="6" t="s">
        <v>32</v>
      </c>
      <c r="E182" s="9">
        <v>77.6</v>
      </c>
      <c r="F182" s="6" t="s">
        <v>962</v>
      </c>
      <c r="G182" s="6">
        <f>IFERROR(__xludf.DUMMYFUNCTION("RANK(E182, FILTER($E$2:$E1000, $D$2:$D1000=D182), 0)"),52.0)</f>
        <v>52</v>
      </c>
      <c r="H182" s="9" t="str">
        <f>IF(G182&lt;=VLOOKUP(D182, Interview_Slots!$A$2:$B$5, 2, FALSE), "Allocated", "Not Allocated")</f>
        <v>Allocated</v>
      </c>
    </row>
    <row r="183">
      <c r="A183" s="6" t="s">
        <v>396</v>
      </c>
      <c r="B183" s="6" t="s">
        <v>397</v>
      </c>
      <c r="C183" s="7" t="s">
        <v>53</v>
      </c>
      <c r="D183" s="6" t="s">
        <v>21</v>
      </c>
      <c r="E183" s="9">
        <v>82.25</v>
      </c>
      <c r="F183" s="6" t="s">
        <v>962</v>
      </c>
      <c r="G183" s="6">
        <f>IFERROR(__xludf.DUMMYFUNCTION("RANK(E183, FILTER($E$2:$E1000, $D$2:$D1000=D183), 0)"),28.0)</f>
        <v>28</v>
      </c>
      <c r="H183" s="9" t="str">
        <f>IF(G183&lt;=VLOOKUP(D183, Interview_Slots!$A$2:$B$5, 2, FALSE), "Allocated", "Not Allocated")</f>
        <v>Allocated</v>
      </c>
    </row>
    <row r="184">
      <c r="A184" s="6" t="s">
        <v>398</v>
      </c>
      <c r="B184" s="6" t="s">
        <v>399</v>
      </c>
      <c r="C184" s="7" t="s">
        <v>53</v>
      </c>
      <c r="D184" s="6" t="s">
        <v>17</v>
      </c>
      <c r="E184" s="9">
        <v>92.25</v>
      </c>
      <c r="F184" s="6" t="s">
        <v>962</v>
      </c>
      <c r="G184" s="6">
        <f>IFERROR(__xludf.DUMMYFUNCTION("RANK(E184, FILTER($E$2:$E1000, $D$2:$D1000=D184), 0)"),5.0)</f>
        <v>5</v>
      </c>
      <c r="H184" s="9" t="str">
        <f>IF(G184&lt;=VLOOKUP(D184, Interview_Slots!$A$2:$B$5, 2, FALSE), "Allocated", "Not Allocated")</f>
        <v>Allocated</v>
      </c>
    </row>
    <row r="185">
      <c r="A185" s="6" t="s">
        <v>400</v>
      </c>
      <c r="B185" s="6" t="s">
        <v>401</v>
      </c>
      <c r="C185" s="7" t="s">
        <v>65</v>
      </c>
      <c r="D185" s="6" t="s">
        <v>21</v>
      </c>
      <c r="E185" s="9">
        <v>82.69999999999999</v>
      </c>
      <c r="F185" s="6" t="s">
        <v>963</v>
      </c>
      <c r="G185" s="6">
        <f>IFERROR(__xludf.DUMMYFUNCTION("RANK(E185, FILTER($E$2:$E1000, $D$2:$D1000=D185), 0)"),25.0)</f>
        <v>25</v>
      </c>
      <c r="H185" s="9" t="str">
        <f>IF(G185&lt;=VLOOKUP(D185, Interview_Slots!$A$2:$B$5, 2, FALSE), "Allocated", "Not Allocated")</f>
        <v>Allocated</v>
      </c>
    </row>
    <row r="186">
      <c r="A186" s="6" t="s">
        <v>402</v>
      </c>
      <c r="B186" s="6" t="s">
        <v>403</v>
      </c>
      <c r="C186" s="7" t="s">
        <v>65</v>
      </c>
      <c r="D186" s="6" t="s">
        <v>21</v>
      </c>
      <c r="E186" s="9">
        <v>79.8</v>
      </c>
      <c r="F186" s="6" t="s">
        <v>963</v>
      </c>
      <c r="G186" s="6">
        <f>IFERROR(__xludf.DUMMYFUNCTION("RANK(E186, FILTER($E$2:$E1000, $D$2:$D1000=D186), 0)"),48.0)</f>
        <v>48</v>
      </c>
      <c r="H186" s="9" t="str">
        <f>IF(G186&lt;=VLOOKUP(D186, Interview_Slots!$A$2:$B$5, 2, FALSE), "Allocated", "Not Allocated")</f>
        <v>Not Allocated</v>
      </c>
    </row>
    <row r="187">
      <c r="A187" s="6" t="s">
        <v>404</v>
      </c>
      <c r="B187" s="6" t="s">
        <v>405</v>
      </c>
      <c r="C187" s="7" t="s">
        <v>65</v>
      </c>
      <c r="D187" s="6" t="s">
        <v>21</v>
      </c>
      <c r="E187" s="9">
        <v>68.7</v>
      </c>
      <c r="F187" s="6" t="s">
        <v>963</v>
      </c>
      <c r="G187" s="6">
        <f>IFERROR(__xludf.DUMMYFUNCTION("RANK(E187, FILTER($E$2:$E1000, $D$2:$D1000=D187), 0)"),110.0)</f>
        <v>110</v>
      </c>
      <c r="H187" s="9" t="str">
        <f>IF(G187&lt;=VLOOKUP(D187, Interview_Slots!$A$2:$B$5, 2, FALSE), "Allocated", "Not Allocated")</f>
        <v>Not Allocated</v>
      </c>
    </row>
    <row r="188">
      <c r="A188" s="6" t="s">
        <v>406</v>
      </c>
      <c r="B188" s="6" t="s">
        <v>407</v>
      </c>
      <c r="C188" s="7" t="s">
        <v>28</v>
      </c>
      <c r="D188" s="6" t="s">
        <v>25</v>
      </c>
      <c r="E188" s="9">
        <v>70.85</v>
      </c>
      <c r="F188" s="6" t="s">
        <v>963</v>
      </c>
      <c r="G188" s="6">
        <f>IFERROR(__xludf.DUMMYFUNCTION("RANK(E188, FILTER($E$2:$E1000, $D$2:$D1000=D188), 0)"),93.0)</f>
        <v>93</v>
      </c>
      <c r="H188" s="9" t="str">
        <f>IF(G188&lt;=VLOOKUP(D188, Interview_Slots!$A$2:$B$5, 2, FALSE), "Allocated", "Not Allocated")</f>
        <v>Not Allocated</v>
      </c>
    </row>
    <row r="189">
      <c r="A189" s="6" t="s">
        <v>408</v>
      </c>
      <c r="B189" s="6" t="s">
        <v>409</v>
      </c>
      <c r="C189" s="7" t="s">
        <v>28</v>
      </c>
      <c r="D189" s="6" t="s">
        <v>25</v>
      </c>
      <c r="E189" s="9">
        <v>87.4</v>
      </c>
      <c r="F189" s="6" t="s">
        <v>962</v>
      </c>
      <c r="G189" s="6">
        <f>IFERROR(__xludf.DUMMYFUNCTION("RANK(E189, FILTER($E$2:$E1000, $D$2:$D1000=D189), 0)"),15.0)</f>
        <v>15</v>
      </c>
      <c r="H189" s="9" t="str">
        <f>IF(G189&lt;=VLOOKUP(D189, Interview_Slots!$A$2:$B$5, 2, FALSE), "Allocated", "Not Allocated")</f>
        <v>Allocated</v>
      </c>
    </row>
    <row r="190">
      <c r="A190" s="6" t="s">
        <v>410</v>
      </c>
      <c r="B190" s="6" t="s">
        <v>411</v>
      </c>
      <c r="C190" s="7" t="s">
        <v>28</v>
      </c>
      <c r="D190" s="6" t="s">
        <v>25</v>
      </c>
      <c r="E190" s="9">
        <v>87.65</v>
      </c>
      <c r="F190" s="6" t="s">
        <v>962</v>
      </c>
      <c r="G190" s="6">
        <f>IFERROR(__xludf.DUMMYFUNCTION("RANK(E190, FILTER($E$2:$E1000, $D$2:$D1000=D190), 0)"),13.0)</f>
        <v>13</v>
      </c>
      <c r="H190" s="9" t="str">
        <f>IF(G190&lt;=VLOOKUP(D190, Interview_Slots!$A$2:$B$5, 2, FALSE), "Allocated", "Not Allocated")</f>
        <v>Allocated</v>
      </c>
    </row>
    <row r="191">
      <c r="A191" s="6" t="s">
        <v>412</v>
      </c>
      <c r="B191" s="6" t="s">
        <v>413</v>
      </c>
      <c r="C191" s="7" t="s">
        <v>28</v>
      </c>
      <c r="D191" s="6" t="s">
        <v>17</v>
      </c>
      <c r="E191" s="9">
        <v>62.75</v>
      </c>
      <c r="F191" s="6" t="s">
        <v>962</v>
      </c>
      <c r="G191" s="6">
        <f>IFERROR(__xludf.DUMMYFUNCTION("RANK(E191, FILTER($E$2:$E1000, $D$2:$D1000=D191), 0)"),109.0)</f>
        <v>109</v>
      </c>
      <c r="H191" s="9" t="str">
        <f>IF(G191&lt;=VLOOKUP(D191, Interview_Slots!$A$2:$B$5, 2, FALSE), "Allocated", "Not Allocated")</f>
        <v>Not Allocated</v>
      </c>
    </row>
    <row r="192">
      <c r="A192" s="6" t="s">
        <v>414</v>
      </c>
      <c r="B192" s="6" t="s">
        <v>415</v>
      </c>
      <c r="C192" s="7" t="s">
        <v>41</v>
      </c>
      <c r="D192" s="6" t="s">
        <v>32</v>
      </c>
      <c r="E192" s="9">
        <v>70.5</v>
      </c>
      <c r="F192" s="6" t="s">
        <v>962</v>
      </c>
      <c r="G192" s="6">
        <f>IFERROR(__xludf.DUMMYFUNCTION("RANK(E192, FILTER($E$2:$E1000, $D$2:$D1000=D192), 0)"),84.0)</f>
        <v>84</v>
      </c>
      <c r="H192" s="9" t="str">
        <f>IF(G192&lt;=VLOOKUP(D192, Interview_Slots!$A$2:$B$5, 2, FALSE), "Allocated", "Not Allocated")</f>
        <v>Not Allocated</v>
      </c>
    </row>
    <row r="193">
      <c r="A193" s="6" t="s">
        <v>416</v>
      </c>
      <c r="B193" s="6" t="s">
        <v>417</v>
      </c>
      <c r="C193" s="7" t="s">
        <v>41</v>
      </c>
      <c r="D193" s="6" t="s">
        <v>17</v>
      </c>
      <c r="E193" s="9">
        <v>86.05</v>
      </c>
      <c r="F193" s="6" t="s">
        <v>962</v>
      </c>
      <c r="G193" s="6">
        <f>IFERROR(__xludf.DUMMYFUNCTION("RANK(E193, FILTER($E$2:$E1000, $D$2:$D1000=D193), 0)"),21.0)</f>
        <v>21</v>
      </c>
      <c r="H193" s="9" t="str">
        <f>IF(G193&lt;=VLOOKUP(D193, Interview_Slots!$A$2:$B$5, 2, FALSE), "Allocated", "Not Allocated")</f>
        <v>Allocated</v>
      </c>
    </row>
    <row r="194">
      <c r="A194" s="6" t="s">
        <v>418</v>
      </c>
      <c r="B194" s="6" t="s">
        <v>419</v>
      </c>
      <c r="C194" s="7" t="s">
        <v>41</v>
      </c>
      <c r="D194" s="6" t="s">
        <v>21</v>
      </c>
      <c r="E194" s="9">
        <v>73.25</v>
      </c>
      <c r="F194" s="6" t="s">
        <v>962</v>
      </c>
      <c r="G194" s="6">
        <f>IFERROR(__xludf.DUMMYFUNCTION("RANK(E194, FILTER($E$2:$E1000, $D$2:$D1000=D194), 0)"),88.0)</f>
        <v>88</v>
      </c>
      <c r="H194" s="9" t="str">
        <f>IF(G194&lt;=VLOOKUP(D194, Interview_Slots!$A$2:$B$5, 2, FALSE), "Allocated", "Not Allocated")</f>
        <v>Not Allocated</v>
      </c>
    </row>
    <row r="195">
      <c r="A195" s="6" t="s">
        <v>420</v>
      </c>
      <c r="B195" s="6" t="s">
        <v>421</v>
      </c>
      <c r="C195" s="7" t="s">
        <v>41</v>
      </c>
      <c r="D195" s="6" t="s">
        <v>32</v>
      </c>
      <c r="E195" s="9">
        <v>71.3</v>
      </c>
      <c r="F195" s="6" t="s">
        <v>962</v>
      </c>
      <c r="G195" s="6">
        <f>IFERROR(__xludf.DUMMYFUNCTION("RANK(E195, FILTER($E$2:$E1000, $D$2:$D1000=D195), 0)"),80.0)</f>
        <v>80</v>
      </c>
      <c r="H195" s="9" t="str">
        <f>IF(G195&lt;=VLOOKUP(D195, Interview_Slots!$A$2:$B$5, 2, FALSE), "Allocated", "Not Allocated")</f>
        <v>Not Allocated</v>
      </c>
    </row>
    <row r="196">
      <c r="A196" s="6" t="s">
        <v>422</v>
      </c>
      <c r="B196" s="6" t="s">
        <v>423</v>
      </c>
      <c r="C196" s="7" t="s">
        <v>53</v>
      </c>
      <c r="D196" s="6" t="s">
        <v>25</v>
      </c>
      <c r="E196" s="9">
        <v>81.44999999999999</v>
      </c>
      <c r="F196" s="6" t="s">
        <v>962</v>
      </c>
      <c r="G196" s="6">
        <f>IFERROR(__xludf.DUMMYFUNCTION("RANK(E196, FILTER($E$2:$E1000, $D$2:$D1000=D196), 0)"),40.0)</f>
        <v>40</v>
      </c>
      <c r="H196" s="9" t="str">
        <f>IF(G196&lt;=VLOOKUP(D196, Interview_Slots!$A$2:$B$5, 2, FALSE), "Allocated", "Not Allocated")</f>
        <v>Not Allocated</v>
      </c>
    </row>
    <row r="197">
      <c r="A197" s="6" t="s">
        <v>424</v>
      </c>
      <c r="B197" s="6" t="s">
        <v>425</v>
      </c>
      <c r="C197" s="7" t="s">
        <v>53</v>
      </c>
      <c r="D197" s="6" t="s">
        <v>17</v>
      </c>
      <c r="E197" s="9">
        <v>76.85</v>
      </c>
      <c r="F197" s="6" t="s">
        <v>962</v>
      </c>
      <c r="G197" s="6">
        <f>IFERROR(__xludf.DUMMYFUNCTION("RANK(E197, FILTER($E$2:$E1000, $D$2:$D1000=D197), 0)"),69.0)</f>
        <v>69</v>
      </c>
      <c r="H197" s="9" t="str">
        <f>IF(G197&lt;=VLOOKUP(D197, Interview_Slots!$A$2:$B$5, 2, FALSE), "Allocated", "Not Allocated")</f>
        <v>Allocated</v>
      </c>
    </row>
    <row r="198">
      <c r="A198" s="6" t="s">
        <v>426</v>
      </c>
      <c r="B198" s="6" t="s">
        <v>427</v>
      </c>
      <c r="C198" s="7" t="s">
        <v>53</v>
      </c>
      <c r="D198" s="6" t="s">
        <v>21</v>
      </c>
      <c r="E198" s="9">
        <v>91.19999999999999</v>
      </c>
      <c r="F198" s="6" t="s">
        <v>963</v>
      </c>
      <c r="G198" s="6">
        <f>IFERROR(__xludf.DUMMYFUNCTION("RANK(E198, FILTER($E$2:$E1000, $D$2:$D1000=D198), 0)"),4.0)</f>
        <v>4</v>
      </c>
      <c r="H198" s="9" t="str">
        <f>IF(G198&lt;=VLOOKUP(D198, Interview_Slots!$A$2:$B$5, 2, FALSE), "Allocated", "Not Allocated")</f>
        <v>Allocated</v>
      </c>
    </row>
    <row r="199">
      <c r="A199" s="6" t="s">
        <v>428</v>
      </c>
      <c r="B199" s="6" t="s">
        <v>429</v>
      </c>
      <c r="C199" s="7" t="s">
        <v>53</v>
      </c>
      <c r="D199" s="6" t="s">
        <v>21</v>
      </c>
      <c r="E199" s="9">
        <v>78.1</v>
      </c>
      <c r="F199" s="6" t="s">
        <v>963</v>
      </c>
      <c r="G199" s="6">
        <f>IFERROR(__xludf.DUMMYFUNCTION("RANK(E199, FILTER($E$2:$E1000, $D$2:$D1000=D199), 0)"),56.0)</f>
        <v>56</v>
      </c>
      <c r="H199" s="9" t="str">
        <f>IF(G199&lt;=VLOOKUP(D199, Interview_Slots!$A$2:$B$5, 2, FALSE), "Allocated", "Not Allocated")</f>
        <v>Not Allocated</v>
      </c>
    </row>
    <row r="200">
      <c r="A200" s="6" t="s">
        <v>430</v>
      </c>
      <c r="B200" s="6" t="s">
        <v>431</v>
      </c>
      <c r="C200" s="7" t="s">
        <v>65</v>
      </c>
      <c r="D200" s="6" t="s">
        <v>21</v>
      </c>
      <c r="E200" s="9">
        <v>88.25</v>
      </c>
      <c r="F200" s="6" t="s">
        <v>962</v>
      </c>
      <c r="G200" s="6">
        <f>IFERROR(__xludf.DUMMYFUNCTION("RANK(E200, FILTER($E$2:$E1000, $D$2:$D1000=D200), 0)"),13.0)</f>
        <v>13</v>
      </c>
      <c r="H200" s="9" t="str">
        <f>IF(G200&lt;=VLOOKUP(D200, Interview_Slots!$A$2:$B$5, 2, FALSE), "Allocated", "Not Allocated")</f>
        <v>Allocated</v>
      </c>
    </row>
    <row r="201">
      <c r="A201" s="6" t="s">
        <v>432</v>
      </c>
      <c r="B201" s="6" t="s">
        <v>433</v>
      </c>
      <c r="C201" s="7" t="s">
        <v>65</v>
      </c>
      <c r="D201" s="6" t="s">
        <v>25</v>
      </c>
      <c r="E201" s="9">
        <v>82.45</v>
      </c>
      <c r="F201" s="6" t="s">
        <v>963</v>
      </c>
      <c r="G201" s="6">
        <f>IFERROR(__xludf.DUMMYFUNCTION("RANK(E201, FILTER($E$2:$E1000, $D$2:$D1000=D201), 0)"),35.0)</f>
        <v>35</v>
      </c>
      <c r="H201" s="9" t="str">
        <f>IF(G201&lt;=VLOOKUP(D201, Interview_Slots!$A$2:$B$5, 2, FALSE), "Allocated", "Not Allocated")</f>
        <v>Not Allocated</v>
      </c>
    </row>
    <row r="202">
      <c r="A202" s="6" t="s">
        <v>434</v>
      </c>
      <c r="B202" s="6" t="s">
        <v>435</v>
      </c>
      <c r="C202" s="7" t="s">
        <v>65</v>
      </c>
      <c r="D202" s="6" t="s">
        <v>25</v>
      </c>
      <c r="E202" s="9">
        <v>84.75</v>
      </c>
      <c r="F202" s="6" t="s">
        <v>963</v>
      </c>
      <c r="G202" s="6">
        <f>IFERROR(__xludf.DUMMYFUNCTION("RANK(E202, FILTER($E$2:$E1000, $D$2:$D1000=D202), 0)"),26.0)</f>
        <v>26</v>
      </c>
      <c r="H202" s="9" t="str">
        <f>IF(G202&lt;=VLOOKUP(D202, Interview_Slots!$A$2:$B$5, 2, FALSE), "Allocated", "Not Allocated")</f>
        <v>Allocated</v>
      </c>
    </row>
    <row r="203">
      <c r="A203" s="6" t="s">
        <v>436</v>
      </c>
      <c r="B203" s="6" t="s">
        <v>437</v>
      </c>
      <c r="C203" s="7" t="s">
        <v>65</v>
      </c>
      <c r="D203" s="6" t="s">
        <v>25</v>
      </c>
      <c r="E203" s="9">
        <v>72.35</v>
      </c>
      <c r="F203" s="6" t="s">
        <v>963</v>
      </c>
      <c r="G203" s="6">
        <f>IFERROR(__xludf.DUMMYFUNCTION("RANK(E203, FILTER($E$2:$E1000, $D$2:$D1000=D203), 0)"),85.0)</f>
        <v>85</v>
      </c>
      <c r="H203" s="9" t="str">
        <f>IF(G203&lt;=VLOOKUP(D203, Interview_Slots!$A$2:$B$5, 2, FALSE), "Allocated", "Not Allocated")</f>
        <v>Not Allocated</v>
      </c>
    </row>
    <row r="204">
      <c r="A204" s="6" t="s">
        <v>438</v>
      </c>
      <c r="B204" s="6" t="s">
        <v>439</v>
      </c>
      <c r="C204" s="7" t="s">
        <v>28</v>
      </c>
      <c r="D204" s="6" t="s">
        <v>17</v>
      </c>
      <c r="E204" s="9">
        <v>87.94999999999999</v>
      </c>
      <c r="F204" s="6" t="s">
        <v>962</v>
      </c>
      <c r="G204" s="6">
        <f>IFERROR(__xludf.DUMMYFUNCTION("RANK(E204, FILTER($E$2:$E1000, $D$2:$D1000=D204), 0)"),13.0)</f>
        <v>13</v>
      </c>
      <c r="H204" s="9" t="str">
        <f>IF(G204&lt;=VLOOKUP(D204, Interview_Slots!$A$2:$B$5, 2, FALSE), "Allocated", "Not Allocated")</f>
        <v>Allocated</v>
      </c>
    </row>
    <row r="205">
      <c r="A205" s="6" t="s">
        <v>440</v>
      </c>
      <c r="B205" s="6" t="s">
        <v>441</v>
      </c>
      <c r="C205" s="7" t="s">
        <v>28</v>
      </c>
      <c r="D205" s="6" t="s">
        <v>32</v>
      </c>
      <c r="E205" s="9">
        <v>70.4</v>
      </c>
      <c r="F205" s="6" t="s">
        <v>962</v>
      </c>
      <c r="G205" s="6">
        <f>IFERROR(__xludf.DUMMYFUNCTION("RANK(E205, FILTER($E$2:$E1000, $D$2:$D1000=D205), 0)"),85.0)</f>
        <v>85</v>
      </c>
      <c r="H205" s="9" t="str">
        <f>IF(G205&lt;=VLOOKUP(D205, Interview_Slots!$A$2:$B$5, 2, FALSE), "Allocated", "Not Allocated")</f>
        <v>Not Allocated</v>
      </c>
    </row>
    <row r="206">
      <c r="A206" s="6" t="s">
        <v>442</v>
      </c>
      <c r="B206" s="6" t="s">
        <v>443</v>
      </c>
      <c r="C206" s="7" t="s">
        <v>28</v>
      </c>
      <c r="D206" s="6" t="s">
        <v>17</v>
      </c>
      <c r="E206" s="9">
        <v>75.6</v>
      </c>
      <c r="F206" s="6" t="s">
        <v>962</v>
      </c>
      <c r="G206" s="6">
        <f>IFERROR(__xludf.DUMMYFUNCTION("RANK(E206, FILTER($E$2:$E1000, $D$2:$D1000=D206), 0)"),77.0)</f>
        <v>77</v>
      </c>
      <c r="H206" s="9" t="str">
        <f>IF(G206&lt;=VLOOKUP(D206, Interview_Slots!$A$2:$B$5, 2, FALSE), "Allocated", "Not Allocated")</f>
        <v>Allocated</v>
      </c>
    </row>
    <row r="207">
      <c r="A207" s="6" t="s">
        <v>444</v>
      </c>
      <c r="B207" s="6" t="s">
        <v>445</v>
      </c>
      <c r="C207" s="7" t="s">
        <v>28</v>
      </c>
      <c r="D207" s="6" t="s">
        <v>21</v>
      </c>
      <c r="E207" s="9">
        <v>77.35</v>
      </c>
      <c r="F207" s="6" t="s">
        <v>962</v>
      </c>
      <c r="G207" s="6">
        <f>IFERROR(__xludf.DUMMYFUNCTION("RANK(E207, FILTER($E$2:$E1000, $D$2:$D1000=D207), 0)"),60.0)</f>
        <v>60</v>
      </c>
      <c r="H207" s="9" t="str">
        <f>IF(G207&lt;=VLOOKUP(D207, Interview_Slots!$A$2:$B$5, 2, FALSE), "Allocated", "Not Allocated")</f>
        <v>Not Allocated</v>
      </c>
    </row>
    <row r="208">
      <c r="A208" s="6" t="s">
        <v>446</v>
      </c>
      <c r="B208" s="6" t="s">
        <v>447</v>
      </c>
      <c r="C208" s="7" t="s">
        <v>41</v>
      </c>
      <c r="D208" s="6" t="s">
        <v>32</v>
      </c>
      <c r="E208" s="9">
        <v>78.8</v>
      </c>
      <c r="F208" s="6" t="s">
        <v>962</v>
      </c>
      <c r="G208" s="6">
        <f>IFERROR(__xludf.DUMMYFUNCTION("RANK(E208, FILTER($E$2:$E1000, $D$2:$D1000=D208), 0)"),48.0)</f>
        <v>48</v>
      </c>
      <c r="H208" s="9" t="str">
        <f>IF(G208&lt;=VLOOKUP(D208, Interview_Slots!$A$2:$B$5, 2, FALSE), "Allocated", "Not Allocated")</f>
        <v>Allocated</v>
      </c>
    </row>
    <row r="209">
      <c r="A209" s="6" t="s">
        <v>448</v>
      </c>
      <c r="B209" s="6" t="s">
        <v>449</v>
      </c>
      <c r="C209" s="7" t="s">
        <v>41</v>
      </c>
      <c r="D209" s="6" t="s">
        <v>32</v>
      </c>
      <c r="E209" s="9">
        <v>83.05</v>
      </c>
      <c r="F209" s="6" t="s">
        <v>962</v>
      </c>
      <c r="G209" s="6">
        <f>IFERROR(__xludf.DUMMYFUNCTION("RANK(E209, FILTER($E$2:$E1000, $D$2:$D1000=D209), 0)"),35.0)</f>
        <v>35</v>
      </c>
      <c r="H209" s="9" t="str">
        <f>IF(G209&lt;=VLOOKUP(D209, Interview_Slots!$A$2:$B$5, 2, FALSE), "Allocated", "Not Allocated")</f>
        <v>Allocated</v>
      </c>
    </row>
    <row r="210">
      <c r="A210" s="6" t="s">
        <v>450</v>
      </c>
      <c r="B210" s="6" t="s">
        <v>451</v>
      </c>
      <c r="C210" s="7" t="s">
        <v>41</v>
      </c>
      <c r="D210" s="6" t="s">
        <v>17</v>
      </c>
      <c r="E210" s="9">
        <v>85.44999999999999</v>
      </c>
      <c r="F210" s="6" t="s">
        <v>962</v>
      </c>
      <c r="G210" s="6">
        <f>IFERROR(__xludf.DUMMYFUNCTION("RANK(E210, FILTER($E$2:$E1000, $D$2:$D1000=D210), 0)"),23.0)</f>
        <v>23</v>
      </c>
      <c r="H210" s="9" t="str">
        <f>IF(G210&lt;=VLOOKUP(D210, Interview_Slots!$A$2:$B$5, 2, FALSE), "Allocated", "Not Allocated")</f>
        <v>Allocated</v>
      </c>
    </row>
    <row r="211">
      <c r="A211" s="6" t="s">
        <v>452</v>
      </c>
      <c r="B211" s="6" t="s">
        <v>453</v>
      </c>
      <c r="C211" s="7" t="s">
        <v>41</v>
      </c>
      <c r="D211" s="6" t="s">
        <v>21</v>
      </c>
      <c r="E211" s="9">
        <v>82.35</v>
      </c>
      <c r="F211" s="6" t="s">
        <v>963</v>
      </c>
      <c r="G211" s="6">
        <f>IFERROR(__xludf.DUMMYFUNCTION("RANK(E211, FILTER($E$2:$E1000, $D$2:$D1000=D211), 0)"),27.0)</f>
        <v>27</v>
      </c>
      <c r="H211" s="9" t="str">
        <f>IF(G211&lt;=VLOOKUP(D211, Interview_Slots!$A$2:$B$5, 2, FALSE), "Allocated", "Not Allocated")</f>
        <v>Allocated</v>
      </c>
    </row>
    <row r="212">
      <c r="A212" s="6" t="s">
        <v>454</v>
      </c>
      <c r="B212" s="6" t="s">
        <v>455</v>
      </c>
      <c r="C212" s="7" t="s">
        <v>53</v>
      </c>
      <c r="D212" s="6" t="s">
        <v>21</v>
      </c>
      <c r="E212" s="9">
        <v>79.75</v>
      </c>
      <c r="F212" s="6" t="s">
        <v>962</v>
      </c>
      <c r="G212" s="6">
        <f>IFERROR(__xludf.DUMMYFUNCTION("RANK(E212, FILTER($E$2:$E1000, $D$2:$D1000=D212), 0)"),49.0)</f>
        <v>49</v>
      </c>
      <c r="H212" s="9" t="str">
        <f>IF(G212&lt;=VLOOKUP(D212, Interview_Slots!$A$2:$B$5, 2, FALSE), "Allocated", "Not Allocated")</f>
        <v>Not Allocated</v>
      </c>
    </row>
    <row r="213">
      <c r="A213" s="6" t="s">
        <v>456</v>
      </c>
      <c r="B213" s="6" t="s">
        <v>457</v>
      </c>
      <c r="C213" s="7" t="s">
        <v>53</v>
      </c>
      <c r="D213" s="6" t="s">
        <v>21</v>
      </c>
      <c r="E213" s="9">
        <v>86.5</v>
      </c>
      <c r="F213" s="6" t="s">
        <v>962</v>
      </c>
      <c r="G213" s="6">
        <f>IFERROR(__xludf.DUMMYFUNCTION("RANK(E213, FILTER($E$2:$E1000, $D$2:$D1000=D213), 0)"),16.0)</f>
        <v>16</v>
      </c>
      <c r="H213" s="9" t="str">
        <f>IF(G213&lt;=VLOOKUP(D213, Interview_Slots!$A$2:$B$5, 2, FALSE), "Allocated", "Not Allocated")</f>
        <v>Allocated</v>
      </c>
    </row>
    <row r="214">
      <c r="A214" s="6" t="s">
        <v>458</v>
      </c>
      <c r="B214" s="6" t="s">
        <v>459</v>
      </c>
      <c r="C214" s="7" t="s">
        <v>53</v>
      </c>
      <c r="D214" s="6" t="s">
        <v>25</v>
      </c>
      <c r="E214" s="9">
        <v>80.8</v>
      </c>
      <c r="F214" s="6" t="s">
        <v>962</v>
      </c>
      <c r="G214" s="6">
        <f>IFERROR(__xludf.DUMMYFUNCTION("RANK(E214, FILTER($E$2:$E1000, $D$2:$D1000=D214), 0)"),45.0)</f>
        <v>45</v>
      </c>
      <c r="H214" s="9" t="str">
        <f>IF(G214&lt;=VLOOKUP(D214, Interview_Slots!$A$2:$B$5, 2, FALSE), "Allocated", "Not Allocated")</f>
        <v>Not Allocated</v>
      </c>
    </row>
    <row r="215">
      <c r="A215" s="6" t="s">
        <v>460</v>
      </c>
      <c r="B215" s="6" t="s">
        <v>461</v>
      </c>
      <c r="C215" s="7" t="s">
        <v>53</v>
      </c>
      <c r="D215" s="6" t="s">
        <v>17</v>
      </c>
      <c r="E215" s="9">
        <v>93.25</v>
      </c>
      <c r="F215" s="6" t="s">
        <v>962</v>
      </c>
      <c r="G215" s="6">
        <f>IFERROR(__xludf.DUMMYFUNCTION("RANK(E215, FILTER($E$2:$E1000, $D$2:$D1000=D215), 0)"),3.0)</f>
        <v>3</v>
      </c>
      <c r="H215" s="9" t="str">
        <f>IF(G215&lt;=VLOOKUP(D215, Interview_Slots!$A$2:$B$5, 2, FALSE), "Allocated", "Not Allocated")</f>
        <v>Allocated</v>
      </c>
    </row>
    <row r="216">
      <c r="A216" s="6" t="s">
        <v>462</v>
      </c>
      <c r="B216" s="6" t="s">
        <v>463</v>
      </c>
      <c r="C216" s="7" t="s">
        <v>65</v>
      </c>
      <c r="D216" s="6" t="s">
        <v>25</v>
      </c>
      <c r="E216" s="9">
        <v>56.7</v>
      </c>
      <c r="F216" s="6" t="s">
        <v>963</v>
      </c>
      <c r="G216" s="6">
        <f>IFERROR(__xludf.DUMMYFUNCTION("RANK(E216, FILTER($E$2:$E1000, $D$2:$D1000=D216), 0)"),111.0)</f>
        <v>111</v>
      </c>
      <c r="H216" s="9" t="str">
        <f>IF(G216&lt;=VLOOKUP(D216, Interview_Slots!$A$2:$B$5, 2, FALSE), "Allocated", "Not Allocated")</f>
        <v>Not Allocated</v>
      </c>
    </row>
    <row r="217">
      <c r="A217" s="6" t="s">
        <v>464</v>
      </c>
      <c r="B217" s="6" t="s">
        <v>465</v>
      </c>
      <c r="C217" s="7" t="s">
        <v>65</v>
      </c>
      <c r="D217" s="6" t="s">
        <v>17</v>
      </c>
      <c r="E217" s="9">
        <v>74.5</v>
      </c>
      <c r="F217" s="6" t="s">
        <v>962</v>
      </c>
      <c r="G217" s="6">
        <f>IFERROR(__xludf.DUMMYFUNCTION("RANK(E217, FILTER($E$2:$E1000, $D$2:$D1000=D217), 0)"),82.0)</f>
        <v>82</v>
      </c>
      <c r="H217" s="9" t="str">
        <f>IF(G217&lt;=VLOOKUP(D217, Interview_Slots!$A$2:$B$5, 2, FALSE), "Allocated", "Not Allocated")</f>
        <v>Not Allocated</v>
      </c>
    </row>
    <row r="218">
      <c r="A218" s="6" t="s">
        <v>466</v>
      </c>
      <c r="B218" s="6" t="s">
        <v>467</v>
      </c>
      <c r="C218" s="7" t="s">
        <v>65</v>
      </c>
      <c r="D218" s="6" t="s">
        <v>25</v>
      </c>
      <c r="E218" s="9">
        <v>72.45</v>
      </c>
      <c r="F218" s="6" t="s">
        <v>963</v>
      </c>
      <c r="G218" s="6">
        <f>IFERROR(__xludf.DUMMYFUNCTION("RANK(E218, FILTER($E$2:$E1000, $D$2:$D1000=D218), 0)"),83.0)</f>
        <v>83</v>
      </c>
      <c r="H218" s="9" t="str">
        <f>IF(G218&lt;=VLOOKUP(D218, Interview_Slots!$A$2:$B$5, 2, FALSE), "Allocated", "Not Allocated")</f>
        <v>Not Allocated</v>
      </c>
    </row>
    <row r="219">
      <c r="A219" s="6" t="s">
        <v>468</v>
      </c>
      <c r="B219" s="6" t="s">
        <v>469</v>
      </c>
      <c r="C219" s="7" t="s">
        <v>28</v>
      </c>
      <c r="D219" s="6" t="s">
        <v>17</v>
      </c>
      <c r="E219" s="9">
        <v>65.15</v>
      </c>
      <c r="F219" s="6" t="s">
        <v>962</v>
      </c>
      <c r="G219" s="6">
        <f>IFERROR(__xludf.DUMMYFUNCTION("RANK(E219, FILTER($E$2:$E1000, $D$2:$D1000=D219), 0)"),106.0)</f>
        <v>106</v>
      </c>
      <c r="H219" s="9" t="str">
        <f>IF(G219&lt;=VLOOKUP(D219, Interview_Slots!$A$2:$B$5, 2, FALSE), "Allocated", "Not Allocated")</f>
        <v>Not Allocated</v>
      </c>
    </row>
    <row r="220">
      <c r="A220" s="6" t="s">
        <v>470</v>
      </c>
      <c r="B220" s="6" t="s">
        <v>471</v>
      </c>
      <c r="C220" s="7" t="s">
        <v>28</v>
      </c>
      <c r="D220" s="6" t="s">
        <v>21</v>
      </c>
      <c r="E220" s="9">
        <v>73.75</v>
      </c>
      <c r="F220" s="6" t="s">
        <v>962</v>
      </c>
      <c r="G220" s="6">
        <f>IFERROR(__xludf.DUMMYFUNCTION("RANK(E220, FILTER($E$2:$E1000, $D$2:$D1000=D220), 0)"),84.0)</f>
        <v>84</v>
      </c>
      <c r="H220" s="9" t="str">
        <f>IF(G220&lt;=VLOOKUP(D220, Interview_Slots!$A$2:$B$5, 2, FALSE), "Allocated", "Not Allocated")</f>
        <v>Not Allocated</v>
      </c>
    </row>
    <row r="221">
      <c r="A221" s="6" t="s">
        <v>472</v>
      </c>
      <c r="B221" s="6" t="s">
        <v>473</v>
      </c>
      <c r="C221" s="7" t="s">
        <v>28</v>
      </c>
      <c r="D221" s="6" t="s">
        <v>32</v>
      </c>
      <c r="E221" s="9">
        <v>75.55</v>
      </c>
      <c r="F221" s="6" t="s">
        <v>962</v>
      </c>
      <c r="G221" s="6">
        <f>IFERROR(__xludf.DUMMYFUNCTION("RANK(E221, FILTER($E$2:$E1000, $D$2:$D1000=D221), 0)"),59.0)</f>
        <v>59</v>
      </c>
      <c r="H221" s="9" t="str">
        <f>IF(G221&lt;=VLOOKUP(D221, Interview_Slots!$A$2:$B$5, 2, FALSE), "Allocated", "Not Allocated")</f>
        <v>Allocated</v>
      </c>
    </row>
    <row r="222">
      <c r="A222" s="6" t="s">
        <v>474</v>
      </c>
      <c r="B222" s="6" t="s">
        <v>475</v>
      </c>
      <c r="C222" s="7" t="s">
        <v>28</v>
      </c>
      <c r="D222" s="6" t="s">
        <v>32</v>
      </c>
      <c r="E222" s="9">
        <v>91.45</v>
      </c>
      <c r="F222" s="6" t="s">
        <v>962</v>
      </c>
      <c r="G222" s="6">
        <f>IFERROR(__xludf.DUMMYFUNCTION("RANK(E222, FILTER($E$2:$E1000, $D$2:$D1000=D222), 0)"),3.0)</f>
        <v>3</v>
      </c>
      <c r="H222" s="9" t="str">
        <f>IF(G222&lt;=VLOOKUP(D222, Interview_Slots!$A$2:$B$5, 2, FALSE), "Allocated", "Not Allocated")</f>
        <v>Allocated</v>
      </c>
    </row>
    <row r="223">
      <c r="A223" s="6" t="s">
        <v>476</v>
      </c>
      <c r="B223" s="6" t="s">
        <v>477</v>
      </c>
      <c r="C223" s="7" t="s">
        <v>41</v>
      </c>
      <c r="D223" s="6" t="s">
        <v>17</v>
      </c>
      <c r="E223" s="9">
        <v>73.19999999999999</v>
      </c>
      <c r="F223" s="6" t="s">
        <v>962</v>
      </c>
      <c r="G223" s="6">
        <f>IFERROR(__xludf.DUMMYFUNCTION("RANK(E223, FILTER($E$2:$E1000, $D$2:$D1000=D223), 0)"),87.0)</f>
        <v>87</v>
      </c>
      <c r="H223" s="9" t="str">
        <f>IF(G223&lt;=VLOOKUP(D223, Interview_Slots!$A$2:$B$5, 2, FALSE), "Allocated", "Not Allocated")</f>
        <v>Not Allocated</v>
      </c>
    </row>
    <row r="224">
      <c r="A224" s="6" t="s">
        <v>478</v>
      </c>
      <c r="B224" s="6" t="s">
        <v>479</v>
      </c>
      <c r="C224" s="7" t="s">
        <v>41</v>
      </c>
      <c r="D224" s="6" t="s">
        <v>21</v>
      </c>
      <c r="E224" s="9">
        <v>80.55</v>
      </c>
      <c r="F224" s="6" t="s">
        <v>962</v>
      </c>
      <c r="G224" s="6">
        <f>IFERROR(__xludf.DUMMYFUNCTION("RANK(E224, FILTER($E$2:$E1000, $D$2:$D1000=D224), 0)"),41.0)</f>
        <v>41</v>
      </c>
      <c r="H224" s="9" t="str">
        <f>IF(G224&lt;=VLOOKUP(D224, Interview_Slots!$A$2:$B$5, 2, FALSE), "Allocated", "Not Allocated")</f>
        <v>Allocated</v>
      </c>
    </row>
    <row r="225">
      <c r="A225" s="6" t="s">
        <v>480</v>
      </c>
      <c r="B225" s="6" t="s">
        <v>481</v>
      </c>
      <c r="C225" s="7" t="s">
        <v>41</v>
      </c>
      <c r="D225" s="6" t="s">
        <v>21</v>
      </c>
      <c r="E225" s="9">
        <v>70.4</v>
      </c>
      <c r="F225" s="6" t="s">
        <v>962</v>
      </c>
      <c r="G225" s="6">
        <f>IFERROR(__xludf.DUMMYFUNCTION("RANK(E225, FILTER($E$2:$E1000, $D$2:$D1000=D225), 0)"),102.0)</f>
        <v>102</v>
      </c>
      <c r="H225" s="9" t="str">
        <f>IF(G225&lt;=VLOOKUP(D225, Interview_Slots!$A$2:$B$5, 2, FALSE), "Allocated", "Not Allocated")</f>
        <v>Not Allocated</v>
      </c>
    </row>
    <row r="226">
      <c r="A226" s="6" t="s">
        <v>482</v>
      </c>
      <c r="B226" s="6" t="s">
        <v>483</v>
      </c>
      <c r="C226" s="7" t="s">
        <v>41</v>
      </c>
      <c r="D226" s="6" t="s">
        <v>21</v>
      </c>
      <c r="E226" s="9">
        <v>69.4</v>
      </c>
      <c r="F226" s="6" t="s">
        <v>963</v>
      </c>
      <c r="G226" s="6">
        <f>IFERROR(__xludf.DUMMYFUNCTION("RANK(E226, FILTER($E$2:$E1000, $D$2:$D1000=D226), 0)"),106.0)</f>
        <v>106</v>
      </c>
      <c r="H226" s="9" t="str">
        <f>IF(G226&lt;=VLOOKUP(D226, Interview_Slots!$A$2:$B$5, 2, FALSE), "Allocated", "Not Allocated")</f>
        <v>Not Allocated</v>
      </c>
    </row>
    <row r="227">
      <c r="A227" s="6" t="s">
        <v>484</v>
      </c>
      <c r="B227" s="6" t="s">
        <v>485</v>
      </c>
      <c r="C227" s="7" t="s">
        <v>53</v>
      </c>
      <c r="D227" s="6" t="s">
        <v>25</v>
      </c>
      <c r="E227" s="9">
        <v>73.5</v>
      </c>
      <c r="F227" s="6" t="s">
        <v>963</v>
      </c>
      <c r="G227" s="6">
        <f>IFERROR(__xludf.DUMMYFUNCTION("RANK(E227, FILTER($E$2:$E1000, $D$2:$D1000=D227), 0)"),78.0)</f>
        <v>78</v>
      </c>
      <c r="H227" s="9" t="str">
        <f>IF(G227&lt;=VLOOKUP(D227, Interview_Slots!$A$2:$B$5, 2, FALSE), "Allocated", "Not Allocated")</f>
        <v>Not Allocated</v>
      </c>
    </row>
    <row r="228">
      <c r="A228" s="6" t="s">
        <v>486</v>
      </c>
      <c r="B228" s="6" t="s">
        <v>487</v>
      </c>
      <c r="C228" s="7" t="s">
        <v>53</v>
      </c>
      <c r="D228" s="6" t="s">
        <v>25</v>
      </c>
      <c r="E228" s="9">
        <v>74.95</v>
      </c>
      <c r="F228" s="6" t="s">
        <v>963</v>
      </c>
      <c r="G228" s="6">
        <f>IFERROR(__xludf.DUMMYFUNCTION("RANK(E228, FILTER($E$2:$E1000, $D$2:$D1000=D228), 0)"),75.0)</f>
        <v>75</v>
      </c>
      <c r="H228" s="9" t="str">
        <f>IF(G228&lt;=VLOOKUP(D228, Interview_Slots!$A$2:$B$5, 2, FALSE), "Allocated", "Not Allocated")</f>
        <v>Not Allocated</v>
      </c>
    </row>
    <row r="229">
      <c r="A229" s="6" t="s">
        <v>488</v>
      </c>
      <c r="B229" s="6" t="s">
        <v>489</v>
      </c>
      <c r="C229" s="7" t="s">
        <v>53</v>
      </c>
      <c r="D229" s="6" t="s">
        <v>25</v>
      </c>
      <c r="E229" s="9">
        <v>75.0</v>
      </c>
      <c r="F229" s="6" t="s">
        <v>962</v>
      </c>
      <c r="G229" s="6">
        <f>IFERROR(__xludf.DUMMYFUNCTION("RANK(E229, FILTER($E$2:$E1000, $D$2:$D1000=D229), 0)"),74.0)</f>
        <v>74</v>
      </c>
      <c r="H229" s="9" t="str">
        <f>IF(G229&lt;=VLOOKUP(D229, Interview_Slots!$A$2:$B$5, 2, FALSE), "Allocated", "Not Allocated")</f>
        <v>Not Allocated</v>
      </c>
    </row>
    <row r="230">
      <c r="A230" s="6" t="s">
        <v>490</v>
      </c>
      <c r="B230" s="6" t="s">
        <v>491</v>
      </c>
      <c r="C230" s="7" t="s">
        <v>53</v>
      </c>
      <c r="D230" s="6" t="s">
        <v>17</v>
      </c>
      <c r="E230" s="9">
        <v>88.94999999999999</v>
      </c>
      <c r="F230" s="6" t="s">
        <v>962</v>
      </c>
      <c r="G230" s="6">
        <f>IFERROR(__xludf.DUMMYFUNCTION("RANK(E230, FILTER($E$2:$E1000, $D$2:$D1000=D230), 0)"),10.0)</f>
        <v>10</v>
      </c>
      <c r="H230" s="9" t="str">
        <f>IF(G230&lt;=VLOOKUP(D230, Interview_Slots!$A$2:$B$5, 2, FALSE), "Allocated", "Not Allocated")</f>
        <v>Allocated</v>
      </c>
    </row>
    <row r="231">
      <c r="A231" s="6" t="s">
        <v>492</v>
      </c>
      <c r="B231" s="6" t="s">
        <v>493</v>
      </c>
      <c r="C231" s="7" t="s">
        <v>65</v>
      </c>
      <c r="D231" s="6" t="s">
        <v>32</v>
      </c>
      <c r="E231" s="9">
        <v>88.8</v>
      </c>
      <c r="F231" s="6" t="s">
        <v>962</v>
      </c>
      <c r="G231" s="6">
        <f>IFERROR(__xludf.DUMMYFUNCTION("RANK(E231, FILTER($E$2:$E1000, $D$2:$D1000=D231), 0)"),8.0)</f>
        <v>8</v>
      </c>
      <c r="H231" s="9" t="str">
        <f>IF(G231&lt;=VLOOKUP(D231, Interview_Slots!$A$2:$B$5, 2, FALSE), "Allocated", "Not Allocated")</f>
        <v>Allocated</v>
      </c>
    </row>
    <row r="232">
      <c r="A232" s="6" t="s">
        <v>494</v>
      </c>
      <c r="B232" s="6" t="s">
        <v>495</v>
      </c>
      <c r="C232" s="7" t="s">
        <v>65</v>
      </c>
      <c r="D232" s="6" t="s">
        <v>17</v>
      </c>
      <c r="E232" s="9">
        <v>84.19999999999999</v>
      </c>
      <c r="F232" s="6" t="s">
        <v>962</v>
      </c>
      <c r="G232" s="6">
        <f>IFERROR(__xludf.DUMMYFUNCTION("RANK(E232, FILTER($E$2:$E1000, $D$2:$D1000=D232), 0)"),30.0)</f>
        <v>30</v>
      </c>
      <c r="H232" s="9" t="str">
        <f>IF(G232&lt;=VLOOKUP(D232, Interview_Slots!$A$2:$B$5, 2, FALSE), "Allocated", "Not Allocated")</f>
        <v>Allocated</v>
      </c>
    </row>
    <row r="233">
      <c r="A233" s="6" t="s">
        <v>496</v>
      </c>
      <c r="B233" s="6" t="s">
        <v>497</v>
      </c>
      <c r="C233" s="7" t="s">
        <v>65</v>
      </c>
      <c r="D233" s="6" t="s">
        <v>21</v>
      </c>
      <c r="E233" s="9">
        <v>73.3</v>
      </c>
      <c r="F233" s="6" t="s">
        <v>962</v>
      </c>
      <c r="G233" s="6">
        <f>IFERROR(__xludf.DUMMYFUNCTION("RANK(E233, FILTER($E$2:$E1000, $D$2:$D1000=D233), 0)"),87.0)</f>
        <v>87</v>
      </c>
      <c r="H233" s="9" t="str">
        <f>IF(G233&lt;=VLOOKUP(D233, Interview_Slots!$A$2:$B$5, 2, FALSE), "Allocated", "Not Allocated")</f>
        <v>Not Allocated</v>
      </c>
    </row>
    <row r="234">
      <c r="A234" s="6" t="s">
        <v>498</v>
      </c>
      <c r="B234" s="6" t="s">
        <v>499</v>
      </c>
      <c r="C234" s="7" t="s">
        <v>65</v>
      </c>
      <c r="D234" s="6" t="s">
        <v>32</v>
      </c>
      <c r="E234" s="9">
        <v>70.7</v>
      </c>
      <c r="F234" s="6" t="s">
        <v>962</v>
      </c>
      <c r="G234" s="6">
        <f>IFERROR(__xludf.DUMMYFUNCTION("RANK(E234, FILTER($E$2:$E1000, $D$2:$D1000=D234), 0)"),82.0)</f>
        <v>82</v>
      </c>
      <c r="H234" s="9" t="str">
        <f>IF(G234&lt;=VLOOKUP(D234, Interview_Slots!$A$2:$B$5, 2, FALSE), "Allocated", "Not Allocated")</f>
        <v>Not Allocated</v>
      </c>
    </row>
    <row r="235">
      <c r="A235" s="6" t="s">
        <v>500</v>
      </c>
      <c r="B235" s="6" t="s">
        <v>501</v>
      </c>
      <c r="C235" s="7" t="s">
        <v>28</v>
      </c>
      <c r="D235" s="6" t="s">
        <v>17</v>
      </c>
      <c r="E235" s="9">
        <v>97.85</v>
      </c>
      <c r="F235" s="6" t="s">
        <v>962</v>
      </c>
      <c r="G235" s="6">
        <f>IFERROR(__xludf.DUMMYFUNCTION("RANK(E235, FILTER($E$2:$E1000, $D$2:$D1000=D235), 0)"),1.0)</f>
        <v>1</v>
      </c>
      <c r="H235" s="9" t="str">
        <f>IF(G235&lt;=VLOOKUP(D235, Interview_Slots!$A$2:$B$5, 2, FALSE), "Allocated", "Not Allocated")</f>
        <v>Allocated</v>
      </c>
    </row>
    <row r="236">
      <c r="A236" s="6" t="s">
        <v>502</v>
      </c>
      <c r="B236" s="6" t="s">
        <v>503</v>
      </c>
      <c r="C236" s="7" t="s">
        <v>28</v>
      </c>
      <c r="D236" s="6" t="s">
        <v>17</v>
      </c>
      <c r="E236" s="9">
        <v>81.65</v>
      </c>
      <c r="F236" s="6" t="s">
        <v>962</v>
      </c>
      <c r="G236" s="6">
        <f>IFERROR(__xludf.DUMMYFUNCTION("RANK(E236, FILTER($E$2:$E1000, $D$2:$D1000=D236), 0)"),43.0)</f>
        <v>43</v>
      </c>
      <c r="H236" s="9" t="str">
        <f>IF(G236&lt;=VLOOKUP(D236, Interview_Slots!$A$2:$B$5, 2, FALSE), "Allocated", "Not Allocated")</f>
        <v>Allocated</v>
      </c>
    </row>
    <row r="237">
      <c r="A237" s="6" t="s">
        <v>504</v>
      </c>
      <c r="B237" s="6" t="s">
        <v>505</v>
      </c>
      <c r="C237" s="7" t="s">
        <v>28</v>
      </c>
      <c r="D237" s="6" t="s">
        <v>21</v>
      </c>
      <c r="E237" s="9">
        <v>86.05</v>
      </c>
      <c r="F237" s="6" t="s">
        <v>962</v>
      </c>
      <c r="G237" s="6">
        <f>IFERROR(__xludf.DUMMYFUNCTION("RANK(E237, FILTER($E$2:$E1000, $D$2:$D1000=D237), 0)"),19.0)</f>
        <v>19</v>
      </c>
      <c r="H237" s="9" t="str">
        <f>IF(G237&lt;=VLOOKUP(D237, Interview_Slots!$A$2:$B$5, 2, FALSE), "Allocated", "Not Allocated")</f>
        <v>Allocated</v>
      </c>
    </row>
    <row r="238">
      <c r="A238" s="6" t="s">
        <v>506</v>
      </c>
      <c r="B238" s="6" t="s">
        <v>507</v>
      </c>
      <c r="C238" s="7" t="s">
        <v>28</v>
      </c>
      <c r="D238" s="6" t="s">
        <v>21</v>
      </c>
      <c r="E238" s="9">
        <v>66.9</v>
      </c>
      <c r="F238" s="6" t="s">
        <v>963</v>
      </c>
      <c r="G238" s="6">
        <f>IFERROR(__xludf.DUMMYFUNCTION("RANK(E238, FILTER($E$2:$E1000, $D$2:$D1000=D238), 0)"),119.0)</f>
        <v>119</v>
      </c>
      <c r="H238" s="9" t="str">
        <f>IF(G238&lt;=VLOOKUP(D238, Interview_Slots!$A$2:$B$5, 2, FALSE), "Allocated", "Not Allocated")</f>
        <v>Not Allocated</v>
      </c>
    </row>
    <row r="239">
      <c r="A239" s="6" t="s">
        <v>508</v>
      </c>
      <c r="B239" s="6" t="s">
        <v>509</v>
      </c>
      <c r="C239" s="7" t="s">
        <v>41</v>
      </c>
      <c r="D239" s="6" t="s">
        <v>21</v>
      </c>
      <c r="E239" s="9">
        <v>69.15</v>
      </c>
      <c r="F239" s="6" t="s">
        <v>963</v>
      </c>
      <c r="G239" s="6">
        <f>IFERROR(__xludf.DUMMYFUNCTION("RANK(E239, FILTER($E$2:$E1000, $D$2:$D1000=D239), 0)"),108.0)</f>
        <v>108</v>
      </c>
      <c r="H239" s="9" t="str">
        <f>IF(G239&lt;=VLOOKUP(D239, Interview_Slots!$A$2:$B$5, 2, FALSE), "Allocated", "Not Allocated")</f>
        <v>Not Allocated</v>
      </c>
    </row>
    <row r="240">
      <c r="A240" s="6" t="s">
        <v>510</v>
      </c>
      <c r="B240" s="6" t="s">
        <v>511</v>
      </c>
      <c r="C240" s="7" t="s">
        <v>41</v>
      </c>
      <c r="D240" s="6" t="s">
        <v>25</v>
      </c>
      <c r="E240" s="9">
        <v>76.6</v>
      </c>
      <c r="F240" s="6" t="s">
        <v>963</v>
      </c>
      <c r="G240" s="6">
        <f>IFERROR(__xludf.DUMMYFUNCTION("RANK(E240, FILTER($E$2:$E1000, $D$2:$D1000=D240), 0)"),65.0)</f>
        <v>65</v>
      </c>
      <c r="H240" s="9" t="str">
        <f>IF(G240&lt;=VLOOKUP(D240, Interview_Slots!$A$2:$B$5, 2, FALSE), "Allocated", "Not Allocated")</f>
        <v>Not Allocated</v>
      </c>
    </row>
    <row r="241">
      <c r="A241" s="6" t="s">
        <v>512</v>
      </c>
      <c r="B241" s="6" t="s">
        <v>513</v>
      </c>
      <c r="C241" s="7" t="s">
        <v>41</v>
      </c>
      <c r="D241" s="6" t="s">
        <v>25</v>
      </c>
      <c r="E241" s="9">
        <v>64.8</v>
      </c>
      <c r="F241" s="6" t="s">
        <v>963</v>
      </c>
      <c r="G241" s="6">
        <f>IFERROR(__xludf.DUMMYFUNCTION("RANK(E241, FILTER($E$2:$E1000, $D$2:$D1000=D241), 0)"),107.0)</f>
        <v>107</v>
      </c>
      <c r="H241" s="9" t="str">
        <f>IF(G241&lt;=VLOOKUP(D241, Interview_Slots!$A$2:$B$5, 2, FALSE), "Allocated", "Not Allocated")</f>
        <v>Not Allocated</v>
      </c>
    </row>
    <row r="242">
      <c r="A242" s="6" t="s">
        <v>514</v>
      </c>
      <c r="B242" s="6" t="s">
        <v>515</v>
      </c>
      <c r="C242" s="7" t="s">
        <v>41</v>
      </c>
      <c r="D242" s="6" t="s">
        <v>25</v>
      </c>
      <c r="E242" s="9">
        <v>83.05</v>
      </c>
      <c r="F242" s="6" t="s">
        <v>962</v>
      </c>
      <c r="G242" s="6">
        <f>IFERROR(__xludf.DUMMYFUNCTION("RANK(E242, FILTER($E$2:$E1000, $D$2:$D1000=D242), 0)"),32.0)</f>
        <v>32</v>
      </c>
      <c r="H242" s="9" t="str">
        <f>IF(G242&lt;=VLOOKUP(D242, Interview_Slots!$A$2:$B$5, 2, FALSE), "Allocated", "Not Allocated")</f>
        <v>Not Allocated</v>
      </c>
    </row>
    <row r="243">
      <c r="A243" s="6" t="s">
        <v>516</v>
      </c>
      <c r="B243" s="6" t="s">
        <v>517</v>
      </c>
      <c r="C243" s="7" t="s">
        <v>53</v>
      </c>
      <c r="D243" s="6" t="s">
        <v>17</v>
      </c>
      <c r="E243" s="9">
        <v>79.05</v>
      </c>
      <c r="F243" s="6" t="s">
        <v>962</v>
      </c>
      <c r="G243" s="6">
        <f>IFERROR(__xludf.DUMMYFUNCTION("RANK(E243, FILTER($E$2:$E1000, $D$2:$D1000=D243), 0)"),55.0)</f>
        <v>55</v>
      </c>
      <c r="H243" s="9" t="str">
        <f>IF(G243&lt;=VLOOKUP(D243, Interview_Slots!$A$2:$B$5, 2, FALSE), "Allocated", "Not Allocated")</f>
        <v>Allocated</v>
      </c>
    </row>
    <row r="244">
      <c r="A244" s="6" t="s">
        <v>518</v>
      </c>
      <c r="B244" s="6" t="s">
        <v>519</v>
      </c>
      <c r="C244" s="7" t="s">
        <v>53</v>
      </c>
      <c r="D244" s="6" t="s">
        <v>32</v>
      </c>
      <c r="E244" s="9">
        <v>61.5</v>
      </c>
      <c r="F244" s="6" t="s">
        <v>963</v>
      </c>
      <c r="G244" s="6">
        <f>IFERROR(__xludf.DUMMYFUNCTION("RANK(E244, FILTER($E$2:$E1000, $D$2:$D1000=D244), 0)"),105.0)</f>
        <v>105</v>
      </c>
      <c r="H244" s="9" t="str">
        <f>IF(G244&lt;=VLOOKUP(D244, Interview_Slots!$A$2:$B$5, 2, FALSE), "Allocated", "Not Allocated")</f>
        <v>Not Allocated</v>
      </c>
    </row>
    <row r="245">
      <c r="A245" s="6" t="s">
        <v>520</v>
      </c>
      <c r="B245" s="6" t="s">
        <v>521</v>
      </c>
      <c r="C245" s="7" t="s">
        <v>53</v>
      </c>
      <c r="D245" s="6" t="s">
        <v>32</v>
      </c>
      <c r="E245" s="9">
        <v>90.65</v>
      </c>
      <c r="F245" s="6" t="s">
        <v>962</v>
      </c>
      <c r="G245" s="6">
        <f>IFERROR(__xludf.DUMMYFUNCTION("RANK(E245, FILTER($E$2:$E1000, $D$2:$D1000=D245), 0)"),6.0)</f>
        <v>6</v>
      </c>
      <c r="H245" s="9" t="str">
        <f>IF(G245&lt;=VLOOKUP(D245, Interview_Slots!$A$2:$B$5, 2, FALSE), "Allocated", "Not Allocated")</f>
        <v>Allocated</v>
      </c>
    </row>
    <row r="246">
      <c r="A246" s="6" t="s">
        <v>522</v>
      </c>
      <c r="B246" s="6" t="s">
        <v>523</v>
      </c>
      <c r="C246" s="7" t="s">
        <v>53</v>
      </c>
      <c r="D246" s="6" t="s">
        <v>21</v>
      </c>
      <c r="E246" s="9">
        <v>87.65</v>
      </c>
      <c r="F246" s="6" t="s">
        <v>962</v>
      </c>
      <c r="G246" s="6">
        <f>IFERROR(__xludf.DUMMYFUNCTION("RANK(E246, FILTER($E$2:$E1000, $D$2:$D1000=D246), 0)"),14.0)</f>
        <v>14</v>
      </c>
      <c r="H246" s="9" t="str">
        <f>IF(G246&lt;=VLOOKUP(D246, Interview_Slots!$A$2:$B$5, 2, FALSE), "Allocated", "Not Allocated")</f>
        <v>Allocated</v>
      </c>
    </row>
    <row r="247">
      <c r="A247" s="6" t="s">
        <v>524</v>
      </c>
      <c r="B247" s="6" t="s">
        <v>525</v>
      </c>
      <c r="C247" s="7" t="s">
        <v>65</v>
      </c>
      <c r="D247" s="6" t="s">
        <v>21</v>
      </c>
      <c r="E247" s="9">
        <v>88.85</v>
      </c>
      <c r="F247" s="6" t="s">
        <v>962</v>
      </c>
      <c r="G247" s="6">
        <f>IFERROR(__xludf.DUMMYFUNCTION("RANK(E247, FILTER($E$2:$E1000, $D$2:$D1000=D247), 0)"),10.0)</f>
        <v>10</v>
      </c>
      <c r="H247" s="9" t="str">
        <f>IF(G247&lt;=VLOOKUP(D247, Interview_Slots!$A$2:$B$5, 2, FALSE), "Allocated", "Not Allocated")</f>
        <v>Allocated</v>
      </c>
    </row>
    <row r="248">
      <c r="A248" s="6" t="s">
        <v>526</v>
      </c>
      <c r="B248" s="6" t="s">
        <v>527</v>
      </c>
      <c r="C248" s="7" t="s">
        <v>65</v>
      </c>
      <c r="D248" s="6" t="s">
        <v>32</v>
      </c>
      <c r="E248" s="9">
        <v>78.1</v>
      </c>
      <c r="F248" s="6" t="s">
        <v>962</v>
      </c>
      <c r="G248" s="6">
        <f>IFERROR(__xludf.DUMMYFUNCTION("RANK(E248, FILTER($E$2:$E1000, $D$2:$D1000=D248), 0)"),50.0)</f>
        <v>50</v>
      </c>
      <c r="H248" s="9" t="str">
        <f>IF(G248&lt;=VLOOKUP(D248, Interview_Slots!$A$2:$B$5, 2, FALSE), "Allocated", "Not Allocated")</f>
        <v>Allocated</v>
      </c>
    </row>
    <row r="249">
      <c r="A249" s="6" t="s">
        <v>528</v>
      </c>
      <c r="B249" s="6" t="s">
        <v>529</v>
      </c>
      <c r="C249" s="7" t="s">
        <v>65</v>
      </c>
      <c r="D249" s="6" t="s">
        <v>17</v>
      </c>
      <c r="E249" s="9">
        <v>93.1</v>
      </c>
      <c r="F249" s="6" t="s">
        <v>962</v>
      </c>
      <c r="G249" s="6">
        <f>IFERROR(__xludf.DUMMYFUNCTION("RANK(E249, FILTER($E$2:$E1000, $D$2:$D1000=D249), 0)"),4.0)</f>
        <v>4</v>
      </c>
      <c r="H249" s="9" t="str">
        <f>IF(G249&lt;=VLOOKUP(D249, Interview_Slots!$A$2:$B$5, 2, FALSE), "Allocated", "Not Allocated")</f>
        <v>Allocated</v>
      </c>
    </row>
    <row r="250">
      <c r="A250" s="6" t="s">
        <v>530</v>
      </c>
      <c r="B250" s="6" t="s">
        <v>531</v>
      </c>
      <c r="C250" s="7" t="s">
        <v>28</v>
      </c>
      <c r="D250" s="6" t="s">
        <v>21</v>
      </c>
      <c r="E250" s="9">
        <v>81.3</v>
      </c>
      <c r="F250" s="6" t="s">
        <v>962</v>
      </c>
      <c r="G250" s="6">
        <f>IFERROR(__xludf.DUMMYFUNCTION("RANK(E250, FILTER($E$2:$E1000, $D$2:$D1000=D250), 0)"),34.0)</f>
        <v>34</v>
      </c>
      <c r="H250" s="9" t="str">
        <f>IF(G250&lt;=VLOOKUP(D250, Interview_Slots!$A$2:$B$5, 2, FALSE), "Allocated", "Not Allocated")</f>
        <v>Allocated</v>
      </c>
    </row>
    <row r="251">
      <c r="A251" s="6" t="s">
        <v>532</v>
      </c>
      <c r="B251" s="6" t="s">
        <v>533</v>
      </c>
      <c r="C251" s="7" t="s">
        <v>28</v>
      </c>
      <c r="D251" s="6" t="s">
        <v>21</v>
      </c>
      <c r="E251" s="9">
        <v>80.55</v>
      </c>
      <c r="F251" s="6" t="s">
        <v>962</v>
      </c>
      <c r="G251" s="6">
        <f>IFERROR(__xludf.DUMMYFUNCTION("RANK(E251, FILTER($E$2:$E1000, $D$2:$D1000=D251), 0)"),41.0)</f>
        <v>41</v>
      </c>
      <c r="H251" s="9" t="str">
        <f>IF(G251&lt;=VLOOKUP(D251, Interview_Slots!$A$2:$B$5, 2, FALSE), "Allocated", "Not Allocated")</f>
        <v>Allocated</v>
      </c>
    </row>
    <row r="252">
      <c r="A252" s="6" t="s">
        <v>534</v>
      </c>
      <c r="B252" s="6" t="s">
        <v>535</v>
      </c>
      <c r="C252" s="7" t="s">
        <v>28</v>
      </c>
      <c r="D252" s="6" t="s">
        <v>21</v>
      </c>
      <c r="E252" s="9">
        <v>79.95</v>
      </c>
      <c r="F252" s="6" t="s">
        <v>963</v>
      </c>
      <c r="G252" s="6">
        <f>IFERROR(__xludf.DUMMYFUNCTION("RANK(E252, FILTER($E$2:$E1000, $D$2:$D1000=D252), 0)"),47.0)</f>
        <v>47</v>
      </c>
      <c r="H252" s="9" t="str">
        <f>IF(G252&lt;=VLOOKUP(D252, Interview_Slots!$A$2:$B$5, 2, FALSE), "Allocated", "Not Allocated")</f>
        <v>Not Allocated</v>
      </c>
    </row>
    <row r="253">
      <c r="A253" s="6" t="s">
        <v>536</v>
      </c>
      <c r="B253" s="6" t="s">
        <v>537</v>
      </c>
      <c r="C253" s="7" t="s">
        <v>28</v>
      </c>
      <c r="D253" s="6" t="s">
        <v>25</v>
      </c>
      <c r="E253" s="9">
        <v>76.75</v>
      </c>
      <c r="F253" s="6" t="s">
        <v>962</v>
      </c>
      <c r="G253" s="6">
        <f>IFERROR(__xludf.DUMMYFUNCTION("RANK(E253, FILTER($E$2:$E1000, $D$2:$D1000=D253), 0)"),63.0)</f>
        <v>63</v>
      </c>
      <c r="H253" s="9" t="str">
        <f>IF(G253&lt;=VLOOKUP(D253, Interview_Slots!$A$2:$B$5, 2, FALSE), "Allocated", "Not Allocated")</f>
        <v>Not Allocated</v>
      </c>
    </row>
    <row r="254">
      <c r="A254" s="6" t="s">
        <v>538</v>
      </c>
      <c r="B254" s="6" t="s">
        <v>539</v>
      </c>
      <c r="C254" s="7" t="s">
        <v>41</v>
      </c>
      <c r="D254" s="6" t="s">
        <v>25</v>
      </c>
      <c r="E254" s="9">
        <v>71.15</v>
      </c>
      <c r="F254" s="6" t="s">
        <v>963</v>
      </c>
      <c r="G254" s="6">
        <f>IFERROR(__xludf.DUMMYFUNCTION("RANK(E254, FILTER($E$2:$E1000, $D$2:$D1000=D254), 0)"),90.0)</f>
        <v>90</v>
      </c>
      <c r="H254" s="9" t="str">
        <f>IF(G254&lt;=VLOOKUP(D254, Interview_Slots!$A$2:$B$5, 2, FALSE), "Allocated", "Not Allocated")</f>
        <v>Not Allocated</v>
      </c>
    </row>
    <row r="255">
      <c r="A255" s="6" t="s">
        <v>540</v>
      </c>
      <c r="B255" s="6" t="s">
        <v>541</v>
      </c>
      <c r="C255" s="7" t="s">
        <v>41</v>
      </c>
      <c r="D255" s="6" t="s">
        <v>25</v>
      </c>
      <c r="E255" s="9">
        <v>74.85</v>
      </c>
      <c r="F255" s="6" t="s">
        <v>963</v>
      </c>
      <c r="G255" s="6">
        <f>IFERROR(__xludf.DUMMYFUNCTION("RANK(E255, FILTER($E$2:$E1000, $D$2:$D1000=D255), 0)"),76.0)</f>
        <v>76</v>
      </c>
      <c r="H255" s="9" t="str">
        <f>IF(G255&lt;=VLOOKUP(D255, Interview_Slots!$A$2:$B$5, 2, FALSE), "Allocated", "Not Allocated")</f>
        <v>Not Allocated</v>
      </c>
    </row>
    <row r="256">
      <c r="A256" s="6" t="s">
        <v>542</v>
      </c>
      <c r="B256" s="6" t="s">
        <v>543</v>
      </c>
      <c r="C256" s="7" t="s">
        <v>41</v>
      </c>
      <c r="D256" s="6" t="s">
        <v>17</v>
      </c>
      <c r="E256" s="9">
        <v>70.8</v>
      </c>
      <c r="F256" s="6" t="s">
        <v>962</v>
      </c>
      <c r="G256" s="6">
        <f>IFERROR(__xludf.DUMMYFUNCTION("RANK(E256, FILTER($E$2:$E1000, $D$2:$D1000=D256), 0)"),93.0)</f>
        <v>93</v>
      </c>
      <c r="H256" s="9" t="str">
        <f>IF(G256&lt;=VLOOKUP(D256, Interview_Slots!$A$2:$B$5, 2, FALSE), "Allocated", "Not Allocated")</f>
        <v>Not Allocated</v>
      </c>
    </row>
    <row r="257">
      <c r="A257" s="6" t="s">
        <v>544</v>
      </c>
      <c r="B257" s="6" t="s">
        <v>545</v>
      </c>
      <c r="C257" s="7" t="s">
        <v>41</v>
      </c>
      <c r="D257" s="6" t="s">
        <v>32</v>
      </c>
      <c r="E257" s="9">
        <v>68.9</v>
      </c>
      <c r="F257" s="6" t="s">
        <v>962</v>
      </c>
      <c r="G257" s="6">
        <f>IFERROR(__xludf.DUMMYFUNCTION("RANK(E257, FILTER($E$2:$E1000, $D$2:$D1000=D257), 0)"),91.0)</f>
        <v>91</v>
      </c>
      <c r="H257" s="9" t="str">
        <f>IF(G257&lt;=VLOOKUP(D257, Interview_Slots!$A$2:$B$5, 2, FALSE), "Allocated", "Not Allocated")</f>
        <v>Not Allocated</v>
      </c>
    </row>
    <row r="258">
      <c r="A258" s="6" t="s">
        <v>546</v>
      </c>
      <c r="B258" s="6" t="s">
        <v>547</v>
      </c>
      <c r="C258" s="7" t="s">
        <v>53</v>
      </c>
      <c r="D258" s="6" t="s">
        <v>17</v>
      </c>
      <c r="E258" s="9">
        <v>74.1</v>
      </c>
      <c r="F258" s="6" t="s">
        <v>962</v>
      </c>
      <c r="G258" s="6">
        <f>IFERROR(__xludf.DUMMYFUNCTION("RANK(E258, FILTER($E$2:$E1000, $D$2:$D1000=D258), 0)"),85.0)</f>
        <v>85</v>
      </c>
      <c r="H258" s="9" t="str">
        <f>IF(G258&lt;=VLOOKUP(D258, Interview_Slots!$A$2:$B$5, 2, FALSE), "Allocated", "Not Allocated")</f>
        <v>Not Allocated</v>
      </c>
    </row>
    <row r="259">
      <c r="A259" s="6" t="s">
        <v>548</v>
      </c>
      <c r="B259" s="6" t="s">
        <v>549</v>
      </c>
      <c r="C259" s="7" t="s">
        <v>53</v>
      </c>
      <c r="D259" s="6" t="s">
        <v>17</v>
      </c>
      <c r="E259" s="9">
        <v>89.05</v>
      </c>
      <c r="F259" s="6" t="s">
        <v>962</v>
      </c>
      <c r="G259" s="6">
        <f>IFERROR(__xludf.DUMMYFUNCTION("RANK(E259, FILTER($E$2:$E1000, $D$2:$D1000=D259), 0)"),9.0)</f>
        <v>9</v>
      </c>
      <c r="H259" s="9" t="str">
        <f>IF(G259&lt;=VLOOKUP(D259, Interview_Slots!$A$2:$B$5, 2, FALSE), "Allocated", "Not Allocated")</f>
        <v>Allocated</v>
      </c>
    </row>
    <row r="260">
      <c r="A260" s="6" t="s">
        <v>550</v>
      </c>
      <c r="B260" s="6" t="s">
        <v>551</v>
      </c>
      <c r="C260" s="7" t="s">
        <v>53</v>
      </c>
      <c r="D260" s="6" t="s">
        <v>32</v>
      </c>
      <c r="E260" s="9">
        <v>86.9</v>
      </c>
      <c r="F260" s="6" t="s">
        <v>962</v>
      </c>
      <c r="G260" s="6">
        <f>IFERROR(__xludf.DUMMYFUNCTION("RANK(E260, FILTER($E$2:$E1000, $D$2:$D1000=D260), 0)"),15.0)</f>
        <v>15</v>
      </c>
      <c r="H260" s="9" t="str">
        <f>IF(G260&lt;=VLOOKUP(D260, Interview_Slots!$A$2:$B$5, 2, FALSE), "Allocated", "Not Allocated")</f>
        <v>Allocated</v>
      </c>
    </row>
    <row r="261">
      <c r="A261" s="6" t="s">
        <v>552</v>
      </c>
      <c r="B261" s="6" t="s">
        <v>553</v>
      </c>
      <c r="C261" s="7" t="s">
        <v>53</v>
      </c>
      <c r="D261" s="6" t="s">
        <v>32</v>
      </c>
      <c r="E261" s="9">
        <v>75.8</v>
      </c>
      <c r="F261" s="6" t="s">
        <v>962</v>
      </c>
      <c r="G261" s="6">
        <f>IFERROR(__xludf.DUMMYFUNCTION("RANK(E261, FILTER($E$2:$E1000, $D$2:$D1000=D261), 0)"),58.0)</f>
        <v>58</v>
      </c>
      <c r="H261" s="9" t="str">
        <f>IF(G261&lt;=VLOOKUP(D261, Interview_Slots!$A$2:$B$5, 2, FALSE), "Allocated", "Not Allocated")</f>
        <v>Allocated</v>
      </c>
    </row>
    <row r="262">
      <c r="A262" s="6" t="s">
        <v>554</v>
      </c>
      <c r="B262" s="6" t="s">
        <v>555</v>
      </c>
      <c r="C262" s="7" t="s">
        <v>65</v>
      </c>
      <c r="D262" s="6" t="s">
        <v>17</v>
      </c>
      <c r="E262" s="9">
        <v>66.95</v>
      </c>
      <c r="F262" s="6" t="s">
        <v>962</v>
      </c>
      <c r="G262" s="6">
        <f>IFERROR(__xludf.DUMMYFUNCTION("RANK(E262, FILTER($E$2:$E1000, $D$2:$D1000=D262), 0)"),104.0)</f>
        <v>104</v>
      </c>
      <c r="H262" s="9" t="str">
        <f>IF(G262&lt;=VLOOKUP(D262, Interview_Slots!$A$2:$B$5, 2, FALSE), "Allocated", "Not Allocated")</f>
        <v>Not Allocated</v>
      </c>
    </row>
    <row r="263">
      <c r="A263" s="6" t="s">
        <v>556</v>
      </c>
      <c r="B263" s="6" t="s">
        <v>557</v>
      </c>
      <c r="C263" s="7" t="s">
        <v>65</v>
      </c>
      <c r="D263" s="6" t="s">
        <v>21</v>
      </c>
      <c r="E263" s="9">
        <v>69.75</v>
      </c>
      <c r="F263" s="6" t="s">
        <v>963</v>
      </c>
      <c r="G263" s="6">
        <f>IFERROR(__xludf.DUMMYFUNCTION("RANK(E263, FILTER($E$2:$E1000, $D$2:$D1000=D263), 0)"),104.0)</f>
        <v>104</v>
      </c>
      <c r="H263" s="9" t="str">
        <f>IF(G263&lt;=VLOOKUP(D263, Interview_Slots!$A$2:$B$5, 2, FALSE), "Allocated", "Not Allocated")</f>
        <v>Not Allocated</v>
      </c>
    </row>
    <row r="264">
      <c r="A264" s="6" t="s">
        <v>558</v>
      </c>
      <c r="B264" s="6" t="s">
        <v>559</v>
      </c>
      <c r="C264" s="7" t="s">
        <v>65</v>
      </c>
      <c r="D264" s="6" t="s">
        <v>17</v>
      </c>
      <c r="E264" s="9">
        <v>82.9</v>
      </c>
      <c r="F264" s="6" t="s">
        <v>962</v>
      </c>
      <c r="G264" s="6">
        <f>IFERROR(__xludf.DUMMYFUNCTION("RANK(E264, FILTER($E$2:$E1000, $D$2:$D1000=D264), 0)"),34.0)</f>
        <v>34</v>
      </c>
      <c r="H264" s="9" t="str">
        <f>IF(G264&lt;=VLOOKUP(D264, Interview_Slots!$A$2:$B$5, 2, FALSE), "Allocated", "Not Allocated")</f>
        <v>Allocated</v>
      </c>
    </row>
    <row r="265">
      <c r="A265" s="6" t="s">
        <v>560</v>
      </c>
      <c r="B265" s="6" t="s">
        <v>561</v>
      </c>
      <c r="C265" s="7" t="s">
        <v>65</v>
      </c>
      <c r="D265" s="6" t="s">
        <v>21</v>
      </c>
      <c r="E265" s="9">
        <v>77.94999999999999</v>
      </c>
      <c r="F265" s="6" t="s">
        <v>962</v>
      </c>
      <c r="G265" s="6">
        <f>IFERROR(__xludf.DUMMYFUNCTION("RANK(E265, FILTER($E$2:$E1000, $D$2:$D1000=D265), 0)"),57.0)</f>
        <v>57</v>
      </c>
      <c r="H265" s="9" t="str">
        <f>IF(G265&lt;=VLOOKUP(D265, Interview_Slots!$A$2:$B$5, 2, FALSE), "Allocated", "Not Allocated")</f>
        <v>Not Allocated</v>
      </c>
    </row>
    <row r="266">
      <c r="A266" s="6" t="s">
        <v>562</v>
      </c>
      <c r="B266" s="6" t="s">
        <v>563</v>
      </c>
      <c r="C266" s="7" t="s">
        <v>28</v>
      </c>
      <c r="D266" s="6" t="s">
        <v>25</v>
      </c>
      <c r="E266" s="9">
        <v>89.6</v>
      </c>
      <c r="F266" s="6" t="s">
        <v>962</v>
      </c>
      <c r="G266" s="6">
        <f>IFERROR(__xludf.DUMMYFUNCTION("RANK(E266, FILTER($E$2:$E1000, $D$2:$D1000=D266), 0)"),10.0)</f>
        <v>10</v>
      </c>
      <c r="H266" s="9" t="str">
        <f>IF(G266&lt;=VLOOKUP(D266, Interview_Slots!$A$2:$B$5, 2, FALSE), "Allocated", "Not Allocated")</f>
        <v>Allocated</v>
      </c>
    </row>
    <row r="267">
      <c r="A267" s="6" t="s">
        <v>564</v>
      </c>
      <c r="B267" s="6" t="s">
        <v>565</v>
      </c>
      <c r="C267" s="7" t="s">
        <v>28</v>
      </c>
      <c r="D267" s="6" t="s">
        <v>25</v>
      </c>
      <c r="E267" s="9">
        <v>71.25</v>
      </c>
      <c r="F267" s="6" t="s">
        <v>963</v>
      </c>
      <c r="G267" s="6">
        <f>IFERROR(__xludf.DUMMYFUNCTION("RANK(E267, FILTER($E$2:$E1000, $D$2:$D1000=D267), 0)"),89.0)</f>
        <v>89</v>
      </c>
      <c r="H267" s="9" t="str">
        <f>IF(G267&lt;=VLOOKUP(D267, Interview_Slots!$A$2:$B$5, 2, FALSE), "Allocated", "Not Allocated")</f>
        <v>Not Allocated</v>
      </c>
    </row>
    <row r="268">
      <c r="A268" s="6" t="s">
        <v>566</v>
      </c>
      <c r="B268" s="6" t="s">
        <v>567</v>
      </c>
      <c r="C268" s="7" t="s">
        <v>28</v>
      </c>
      <c r="D268" s="6" t="s">
        <v>25</v>
      </c>
      <c r="E268" s="9">
        <v>79.45</v>
      </c>
      <c r="F268" s="6" t="s">
        <v>962</v>
      </c>
      <c r="G268" s="6">
        <f>IFERROR(__xludf.DUMMYFUNCTION("RANK(E268, FILTER($E$2:$E1000, $D$2:$D1000=D268), 0)"),49.0)</f>
        <v>49</v>
      </c>
      <c r="H268" s="9" t="str">
        <f>IF(G268&lt;=VLOOKUP(D268, Interview_Slots!$A$2:$B$5, 2, FALSE), "Allocated", "Not Allocated")</f>
        <v>Not Allocated</v>
      </c>
    </row>
    <row r="269">
      <c r="A269" s="6" t="s">
        <v>568</v>
      </c>
      <c r="B269" s="6" t="s">
        <v>569</v>
      </c>
      <c r="C269" s="7" t="s">
        <v>28</v>
      </c>
      <c r="D269" s="6" t="s">
        <v>17</v>
      </c>
      <c r="E269" s="9">
        <v>67.1</v>
      </c>
      <c r="F269" s="6" t="s">
        <v>962</v>
      </c>
      <c r="G269" s="6">
        <f>IFERROR(__xludf.DUMMYFUNCTION("RANK(E269, FILTER($E$2:$E1000, $D$2:$D1000=D269), 0)"),103.0)</f>
        <v>103</v>
      </c>
      <c r="H269" s="9" t="str">
        <f>IF(G269&lt;=VLOOKUP(D269, Interview_Slots!$A$2:$B$5, 2, FALSE), "Allocated", "Not Allocated")</f>
        <v>Not Allocated</v>
      </c>
    </row>
    <row r="270">
      <c r="A270" s="6" t="s">
        <v>570</v>
      </c>
      <c r="B270" s="6" t="s">
        <v>571</v>
      </c>
      <c r="C270" s="7" t="s">
        <v>41</v>
      </c>
      <c r="D270" s="6" t="s">
        <v>32</v>
      </c>
      <c r="E270" s="9">
        <v>87.9</v>
      </c>
      <c r="F270" s="6" t="s">
        <v>962</v>
      </c>
      <c r="G270" s="6">
        <f>IFERROR(__xludf.DUMMYFUNCTION("RANK(E270, FILTER($E$2:$E1000, $D$2:$D1000=D270), 0)"),10.0)</f>
        <v>10</v>
      </c>
      <c r="H270" s="9" t="str">
        <f>IF(G270&lt;=VLOOKUP(D270, Interview_Slots!$A$2:$B$5, 2, FALSE), "Allocated", "Not Allocated")</f>
        <v>Allocated</v>
      </c>
    </row>
    <row r="271">
      <c r="A271" s="6" t="s">
        <v>572</v>
      </c>
      <c r="B271" s="6" t="s">
        <v>573</v>
      </c>
      <c r="C271" s="7" t="s">
        <v>41</v>
      </c>
      <c r="D271" s="6" t="s">
        <v>17</v>
      </c>
      <c r="E271" s="9">
        <v>62.05</v>
      </c>
      <c r="F271" s="6" t="s">
        <v>962</v>
      </c>
      <c r="G271" s="6">
        <f>IFERROR(__xludf.DUMMYFUNCTION("RANK(E271, FILTER($E$2:$E1000, $D$2:$D1000=D271), 0)"),112.0)</f>
        <v>112</v>
      </c>
      <c r="H271" s="9" t="str">
        <f>IF(G271&lt;=VLOOKUP(D271, Interview_Slots!$A$2:$B$5, 2, FALSE), "Allocated", "Not Allocated")</f>
        <v>Not Allocated</v>
      </c>
    </row>
    <row r="272">
      <c r="A272" s="6" t="s">
        <v>574</v>
      </c>
      <c r="B272" s="6" t="s">
        <v>575</v>
      </c>
      <c r="C272" s="7" t="s">
        <v>41</v>
      </c>
      <c r="D272" s="6" t="s">
        <v>21</v>
      </c>
      <c r="E272" s="9">
        <v>74.8</v>
      </c>
      <c r="F272" s="6" t="s">
        <v>962</v>
      </c>
      <c r="G272" s="6">
        <f>IFERROR(__xludf.DUMMYFUNCTION("RANK(E272, FILTER($E$2:$E1000, $D$2:$D1000=D272), 0)"),75.0)</f>
        <v>75</v>
      </c>
      <c r="H272" s="9" t="str">
        <f>IF(G272&lt;=VLOOKUP(D272, Interview_Slots!$A$2:$B$5, 2, FALSE), "Allocated", "Not Allocated")</f>
        <v>Not Allocated</v>
      </c>
    </row>
    <row r="273">
      <c r="A273" s="6" t="s">
        <v>576</v>
      </c>
      <c r="B273" s="6" t="s">
        <v>577</v>
      </c>
      <c r="C273" s="7" t="s">
        <v>41</v>
      </c>
      <c r="D273" s="6" t="s">
        <v>32</v>
      </c>
      <c r="E273" s="9">
        <v>90.69999999999999</v>
      </c>
      <c r="F273" s="6" t="s">
        <v>962</v>
      </c>
      <c r="G273" s="6">
        <f>IFERROR(__xludf.DUMMYFUNCTION("RANK(E273, FILTER($E$2:$E1000, $D$2:$D1000=D273), 0)"),5.0)</f>
        <v>5</v>
      </c>
      <c r="H273" s="9" t="str">
        <f>IF(G273&lt;=VLOOKUP(D273, Interview_Slots!$A$2:$B$5, 2, FALSE), "Allocated", "Not Allocated")</f>
        <v>Allocated</v>
      </c>
    </row>
    <row r="274">
      <c r="A274" s="6" t="s">
        <v>578</v>
      </c>
      <c r="B274" s="6" t="s">
        <v>579</v>
      </c>
      <c r="C274" s="7" t="s">
        <v>53</v>
      </c>
      <c r="D274" s="6" t="s">
        <v>32</v>
      </c>
      <c r="E274" s="9">
        <v>78.0</v>
      </c>
      <c r="F274" s="6" t="s">
        <v>962</v>
      </c>
      <c r="G274" s="6">
        <f>IFERROR(__xludf.DUMMYFUNCTION("RANK(E274, FILTER($E$2:$E1000, $D$2:$D1000=D274), 0)"),51.0)</f>
        <v>51</v>
      </c>
      <c r="H274" s="9" t="str">
        <f>IF(G274&lt;=VLOOKUP(D274, Interview_Slots!$A$2:$B$5, 2, FALSE), "Allocated", "Not Allocated")</f>
        <v>Allocated</v>
      </c>
    </row>
    <row r="275">
      <c r="A275" s="6" t="s">
        <v>580</v>
      </c>
      <c r="B275" s="6" t="s">
        <v>581</v>
      </c>
      <c r="C275" s="7" t="s">
        <v>53</v>
      </c>
      <c r="D275" s="6" t="s">
        <v>17</v>
      </c>
      <c r="E275" s="9">
        <v>69.1</v>
      </c>
      <c r="F275" s="6" t="s">
        <v>962</v>
      </c>
      <c r="G275" s="6">
        <f>IFERROR(__xludf.DUMMYFUNCTION("RANK(E275, FILTER($E$2:$E1000, $D$2:$D1000=D275), 0)"),99.0)</f>
        <v>99</v>
      </c>
      <c r="H275" s="9" t="str">
        <f>IF(G275&lt;=VLOOKUP(D275, Interview_Slots!$A$2:$B$5, 2, FALSE), "Allocated", "Not Allocated")</f>
        <v>Not Allocated</v>
      </c>
    </row>
    <row r="276">
      <c r="A276" s="6" t="s">
        <v>582</v>
      </c>
      <c r="B276" s="6" t="s">
        <v>583</v>
      </c>
      <c r="C276" s="7" t="s">
        <v>53</v>
      </c>
      <c r="D276" s="6" t="s">
        <v>21</v>
      </c>
      <c r="E276" s="9">
        <v>67.25</v>
      </c>
      <c r="F276" s="6" t="s">
        <v>963</v>
      </c>
      <c r="G276" s="6">
        <f>IFERROR(__xludf.DUMMYFUNCTION("RANK(E276, FILTER($E$2:$E1000, $D$2:$D1000=D276), 0)"),117.0)</f>
        <v>117</v>
      </c>
      <c r="H276" s="9" t="str">
        <f>IF(G276&lt;=VLOOKUP(D276, Interview_Slots!$A$2:$B$5, 2, FALSE), "Allocated", "Not Allocated")</f>
        <v>Not Allocated</v>
      </c>
    </row>
    <row r="277">
      <c r="A277" s="6" t="s">
        <v>584</v>
      </c>
      <c r="B277" s="6" t="s">
        <v>585</v>
      </c>
      <c r="C277" s="7" t="s">
        <v>53</v>
      </c>
      <c r="D277" s="6" t="s">
        <v>21</v>
      </c>
      <c r="E277" s="9">
        <v>75.0</v>
      </c>
      <c r="F277" s="6" t="s">
        <v>962</v>
      </c>
      <c r="G277" s="6">
        <f>IFERROR(__xludf.DUMMYFUNCTION("RANK(E277, FILTER($E$2:$E1000, $D$2:$D1000=D277), 0)"),72.0)</f>
        <v>72</v>
      </c>
      <c r="H277" s="9" t="str">
        <f>IF(G277&lt;=VLOOKUP(D277, Interview_Slots!$A$2:$B$5, 2, FALSE), "Allocated", "Not Allocated")</f>
        <v>Not Allocated</v>
      </c>
    </row>
    <row r="278">
      <c r="A278" s="6" t="s">
        <v>586</v>
      </c>
      <c r="B278" s="6" t="s">
        <v>587</v>
      </c>
      <c r="C278" s="7" t="s">
        <v>65</v>
      </c>
      <c r="D278" s="6" t="s">
        <v>21</v>
      </c>
      <c r="E278" s="9">
        <v>77.0</v>
      </c>
      <c r="F278" s="6" t="s">
        <v>962</v>
      </c>
      <c r="G278" s="6">
        <f>IFERROR(__xludf.DUMMYFUNCTION("RANK(E278, FILTER($E$2:$E1000, $D$2:$D1000=D278), 0)"),61.0)</f>
        <v>61</v>
      </c>
      <c r="H278" s="9" t="str">
        <f>IF(G278&lt;=VLOOKUP(D278, Interview_Slots!$A$2:$B$5, 2, FALSE), "Allocated", "Not Allocated")</f>
        <v>Not Allocated</v>
      </c>
    </row>
    <row r="279">
      <c r="A279" s="6" t="s">
        <v>588</v>
      </c>
      <c r="B279" s="6" t="s">
        <v>589</v>
      </c>
      <c r="C279" s="7" t="s">
        <v>65</v>
      </c>
      <c r="D279" s="6" t="s">
        <v>25</v>
      </c>
      <c r="E279" s="9">
        <v>66.5</v>
      </c>
      <c r="F279" s="6" t="s">
        <v>963</v>
      </c>
      <c r="G279" s="6">
        <f>IFERROR(__xludf.DUMMYFUNCTION("RANK(E279, FILTER($E$2:$E1000, $D$2:$D1000=D279), 0)"),105.0)</f>
        <v>105</v>
      </c>
      <c r="H279" s="9" t="str">
        <f>IF(G279&lt;=VLOOKUP(D279, Interview_Slots!$A$2:$B$5, 2, FALSE), "Allocated", "Not Allocated")</f>
        <v>Not Allocated</v>
      </c>
    </row>
    <row r="280">
      <c r="A280" s="6" t="s">
        <v>590</v>
      </c>
      <c r="B280" s="6" t="s">
        <v>591</v>
      </c>
      <c r="C280" s="7" t="s">
        <v>65</v>
      </c>
      <c r="D280" s="6" t="s">
        <v>25</v>
      </c>
      <c r="E280" s="9">
        <v>81.0</v>
      </c>
      <c r="F280" s="6" t="s">
        <v>962</v>
      </c>
      <c r="G280" s="6">
        <f>IFERROR(__xludf.DUMMYFUNCTION("RANK(E280, FILTER($E$2:$E1000, $D$2:$D1000=D280), 0)"),43.0)</f>
        <v>43</v>
      </c>
      <c r="H280" s="9" t="str">
        <f>IF(G280&lt;=VLOOKUP(D280, Interview_Slots!$A$2:$B$5, 2, FALSE), "Allocated", "Not Allocated")</f>
        <v>Not Allocated</v>
      </c>
    </row>
    <row r="281">
      <c r="A281" s="6" t="s">
        <v>592</v>
      </c>
      <c r="B281" s="6" t="s">
        <v>593</v>
      </c>
      <c r="C281" s="7" t="s">
        <v>28</v>
      </c>
      <c r="D281" s="6" t="s">
        <v>25</v>
      </c>
      <c r="E281" s="9">
        <v>76.95</v>
      </c>
      <c r="F281" s="6" t="s">
        <v>962</v>
      </c>
      <c r="G281" s="6">
        <f>IFERROR(__xludf.DUMMYFUNCTION("RANK(E281, FILTER($E$2:$E1000, $D$2:$D1000=D281), 0)"),61.0)</f>
        <v>61</v>
      </c>
      <c r="H281" s="9" t="str">
        <f>IF(G281&lt;=VLOOKUP(D281, Interview_Slots!$A$2:$B$5, 2, FALSE), "Allocated", "Not Allocated")</f>
        <v>Not Allocated</v>
      </c>
    </row>
    <row r="282">
      <c r="A282" s="6" t="s">
        <v>594</v>
      </c>
      <c r="B282" s="6" t="s">
        <v>595</v>
      </c>
      <c r="C282" s="7" t="s">
        <v>28</v>
      </c>
      <c r="D282" s="6" t="s">
        <v>17</v>
      </c>
      <c r="E282" s="9">
        <v>79.8</v>
      </c>
      <c r="F282" s="6" t="s">
        <v>962</v>
      </c>
      <c r="G282" s="6">
        <f>IFERROR(__xludf.DUMMYFUNCTION("RANK(E282, FILTER($E$2:$E1000, $D$2:$D1000=D282), 0)"),52.0)</f>
        <v>52</v>
      </c>
      <c r="H282" s="9" t="str">
        <f>IF(G282&lt;=VLOOKUP(D282, Interview_Slots!$A$2:$B$5, 2, FALSE), "Allocated", "Not Allocated")</f>
        <v>Allocated</v>
      </c>
    </row>
    <row r="283">
      <c r="A283" s="6" t="s">
        <v>596</v>
      </c>
      <c r="B283" s="6" t="s">
        <v>597</v>
      </c>
      <c r="C283" s="7" t="s">
        <v>28</v>
      </c>
      <c r="D283" s="6" t="s">
        <v>32</v>
      </c>
      <c r="E283" s="9">
        <v>86.39999999999999</v>
      </c>
      <c r="F283" s="6" t="s">
        <v>962</v>
      </c>
      <c r="G283" s="6">
        <f>IFERROR(__xludf.DUMMYFUNCTION("RANK(E283, FILTER($E$2:$E1000, $D$2:$D1000=D283), 0)"),19.0)</f>
        <v>19</v>
      </c>
      <c r="H283" s="9" t="str">
        <f>IF(G283&lt;=VLOOKUP(D283, Interview_Slots!$A$2:$B$5, 2, FALSE), "Allocated", "Not Allocated")</f>
        <v>Allocated</v>
      </c>
    </row>
    <row r="284">
      <c r="A284" s="6" t="s">
        <v>598</v>
      </c>
      <c r="B284" s="6" t="s">
        <v>599</v>
      </c>
      <c r="C284" s="7" t="s">
        <v>28</v>
      </c>
      <c r="D284" s="6" t="s">
        <v>17</v>
      </c>
      <c r="E284" s="9">
        <v>84.5</v>
      </c>
      <c r="F284" s="6" t="s">
        <v>962</v>
      </c>
      <c r="G284" s="6">
        <f>IFERROR(__xludf.DUMMYFUNCTION("RANK(E284, FILTER($E$2:$E1000, $D$2:$D1000=D284), 0)"),26.0)</f>
        <v>26</v>
      </c>
      <c r="H284" s="9" t="str">
        <f>IF(G284&lt;=VLOOKUP(D284, Interview_Slots!$A$2:$B$5, 2, FALSE), "Allocated", "Not Allocated")</f>
        <v>Allocated</v>
      </c>
    </row>
    <row r="285">
      <c r="A285" s="6" t="s">
        <v>600</v>
      </c>
      <c r="B285" s="6" t="s">
        <v>601</v>
      </c>
      <c r="C285" s="7" t="s">
        <v>41</v>
      </c>
      <c r="D285" s="6" t="s">
        <v>21</v>
      </c>
      <c r="E285" s="9">
        <v>63.7</v>
      </c>
      <c r="F285" s="6" t="s">
        <v>963</v>
      </c>
      <c r="G285" s="6">
        <f>IFERROR(__xludf.DUMMYFUNCTION("RANK(E285, FILTER($E$2:$E1000, $D$2:$D1000=D285), 0)"),131.0)</f>
        <v>131</v>
      </c>
      <c r="H285" s="9" t="str">
        <f>IF(G285&lt;=VLOOKUP(D285, Interview_Slots!$A$2:$B$5, 2, FALSE), "Allocated", "Not Allocated")</f>
        <v>Not Allocated</v>
      </c>
    </row>
    <row r="286">
      <c r="A286" s="6" t="s">
        <v>602</v>
      </c>
      <c r="B286" s="6" t="s">
        <v>603</v>
      </c>
      <c r="C286" s="7" t="s">
        <v>41</v>
      </c>
      <c r="D286" s="6" t="s">
        <v>17</v>
      </c>
      <c r="E286" s="9">
        <v>84.5</v>
      </c>
      <c r="F286" s="6" t="s">
        <v>962</v>
      </c>
      <c r="G286" s="6">
        <f>IFERROR(__xludf.DUMMYFUNCTION("RANK(E286, FILTER($E$2:$E1000, $D$2:$D1000=D286), 0)"),26.0)</f>
        <v>26</v>
      </c>
      <c r="H286" s="9" t="str">
        <f>IF(G286&lt;=VLOOKUP(D286, Interview_Slots!$A$2:$B$5, 2, FALSE), "Allocated", "Not Allocated")</f>
        <v>Allocated</v>
      </c>
    </row>
    <row r="287">
      <c r="A287" s="6" t="s">
        <v>604</v>
      </c>
      <c r="B287" s="6" t="s">
        <v>605</v>
      </c>
      <c r="C287" s="7" t="s">
        <v>41</v>
      </c>
      <c r="D287" s="6" t="s">
        <v>32</v>
      </c>
      <c r="E287" s="9">
        <v>72.8</v>
      </c>
      <c r="F287" s="6" t="s">
        <v>962</v>
      </c>
      <c r="G287" s="6">
        <f>IFERROR(__xludf.DUMMYFUNCTION("RANK(E287, FILTER($E$2:$E1000, $D$2:$D1000=D287), 0)"),73.0)</f>
        <v>73</v>
      </c>
      <c r="H287" s="9" t="str">
        <f>IF(G287&lt;=VLOOKUP(D287, Interview_Slots!$A$2:$B$5, 2, FALSE), "Allocated", "Not Allocated")</f>
        <v>Not Allocated</v>
      </c>
    </row>
    <row r="288">
      <c r="A288" s="6" t="s">
        <v>606</v>
      </c>
      <c r="B288" s="6" t="s">
        <v>607</v>
      </c>
      <c r="C288" s="7" t="s">
        <v>41</v>
      </c>
      <c r="D288" s="6" t="s">
        <v>17</v>
      </c>
      <c r="E288" s="9">
        <v>71.6</v>
      </c>
      <c r="F288" s="6" t="s">
        <v>962</v>
      </c>
      <c r="G288" s="6">
        <f>IFERROR(__xludf.DUMMYFUNCTION("RANK(E288, FILTER($E$2:$E1000, $D$2:$D1000=D288), 0)"),90.0)</f>
        <v>90</v>
      </c>
      <c r="H288" s="9" t="str">
        <f>IF(G288&lt;=VLOOKUP(D288, Interview_Slots!$A$2:$B$5, 2, FALSE), "Allocated", "Not Allocated")</f>
        <v>Not Allocated</v>
      </c>
    </row>
    <row r="289">
      <c r="A289" s="6" t="s">
        <v>608</v>
      </c>
      <c r="B289" s="6" t="s">
        <v>609</v>
      </c>
      <c r="C289" s="7" t="s">
        <v>53</v>
      </c>
      <c r="D289" s="6" t="s">
        <v>21</v>
      </c>
      <c r="E289" s="9">
        <v>71.3</v>
      </c>
      <c r="F289" s="6" t="s">
        <v>962</v>
      </c>
      <c r="G289" s="6">
        <f>IFERROR(__xludf.DUMMYFUNCTION("RANK(E289, FILTER($E$2:$E1000, $D$2:$D1000=D289), 0)"),97.0)</f>
        <v>97</v>
      </c>
      <c r="H289" s="9" t="str">
        <f>IF(G289&lt;=VLOOKUP(D289, Interview_Slots!$A$2:$B$5, 2, FALSE), "Allocated", "Not Allocated")</f>
        <v>Not Allocated</v>
      </c>
    </row>
    <row r="290">
      <c r="A290" s="6" t="s">
        <v>610</v>
      </c>
      <c r="B290" s="6" t="s">
        <v>611</v>
      </c>
      <c r="C290" s="7" t="s">
        <v>53</v>
      </c>
      <c r="D290" s="6" t="s">
        <v>21</v>
      </c>
      <c r="E290" s="9">
        <v>77.0</v>
      </c>
      <c r="F290" s="6" t="s">
        <v>962</v>
      </c>
      <c r="G290" s="6">
        <f>IFERROR(__xludf.DUMMYFUNCTION("RANK(E290, FILTER($E$2:$E1000, $D$2:$D1000=D290), 0)"),61.0)</f>
        <v>61</v>
      </c>
      <c r="H290" s="9" t="str">
        <f>IF(G290&lt;=VLOOKUP(D290, Interview_Slots!$A$2:$B$5, 2, FALSE), "Allocated", "Not Allocated")</f>
        <v>Not Allocated</v>
      </c>
    </row>
    <row r="291">
      <c r="A291" s="6" t="s">
        <v>612</v>
      </c>
      <c r="B291" s="6" t="s">
        <v>613</v>
      </c>
      <c r="C291" s="7" t="s">
        <v>53</v>
      </c>
      <c r="D291" s="6" t="s">
        <v>21</v>
      </c>
      <c r="E291" s="9">
        <v>76.05</v>
      </c>
      <c r="F291" s="6" t="s">
        <v>963</v>
      </c>
      <c r="G291" s="6">
        <f>IFERROR(__xludf.DUMMYFUNCTION("RANK(E291, FILTER($E$2:$E1000, $D$2:$D1000=D291), 0)"),67.0)</f>
        <v>67</v>
      </c>
      <c r="H291" s="9" t="str">
        <f>IF(G291&lt;=VLOOKUP(D291, Interview_Slots!$A$2:$B$5, 2, FALSE), "Allocated", "Not Allocated")</f>
        <v>Not Allocated</v>
      </c>
    </row>
    <row r="292">
      <c r="A292" s="6" t="s">
        <v>614</v>
      </c>
      <c r="B292" s="6" t="s">
        <v>615</v>
      </c>
      <c r="C292" s="7" t="s">
        <v>53</v>
      </c>
      <c r="D292" s="6" t="s">
        <v>25</v>
      </c>
      <c r="E292" s="9">
        <v>85.3</v>
      </c>
      <c r="F292" s="6" t="s">
        <v>963</v>
      </c>
      <c r="G292" s="6">
        <f>IFERROR(__xludf.DUMMYFUNCTION("RANK(E292, FILTER($E$2:$E1000, $D$2:$D1000=D292), 0)"),23.0)</f>
        <v>23</v>
      </c>
      <c r="H292" s="9" t="str">
        <f>IF(G292&lt;=VLOOKUP(D292, Interview_Slots!$A$2:$B$5, 2, FALSE), "Allocated", "Not Allocated")</f>
        <v>Allocated</v>
      </c>
    </row>
    <row r="293">
      <c r="A293" s="6" t="s">
        <v>616</v>
      </c>
      <c r="B293" s="6" t="s">
        <v>617</v>
      </c>
      <c r="C293" s="7" t="s">
        <v>65</v>
      </c>
      <c r="D293" s="6" t="s">
        <v>25</v>
      </c>
      <c r="E293" s="9">
        <v>68.0</v>
      </c>
      <c r="F293" s="6" t="s">
        <v>963</v>
      </c>
      <c r="G293" s="6">
        <f>IFERROR(__xludf.DUMMYFUNCTION("RANK(E293, FILTER($E$2:$E1000, $D$2:$D1000=D293), 0)"),102.0)</f>
        <v>102</v>
      </c>
      <c r="H293" s="9" t="str">
        <f>IF(G293&lt;=VLOOKUP(D293, Interview_Slots!$A$2:$B$5, 2, FALSE), "Allocated", "Not Allocated")</f>
        <v>Not Allocated</v>
      </c>
    </row>
    <row r="294">
      <c r="A294" s="6" t="s">
        <v>618</v>
      </c>
      <c r="B294" s="6" t="s">
        <v>619</v>
      </c>
      <c r="C294" s="7" t="s">
        <v>65</v>
      </c>
      <c r="D294" s="6" t="s">
        <v>25</v>
      </c>
      <c r="E294" s="9">
        <v>67.5</v>
      </c>
      <c r="F294" s="6" t="s">
        <v>963</v>
      </c>
      <c r="G294" s="6">
        <f>IFERROR(__xludf.DUMMYFUNCTION("RANK(E294, FILTER($E$2:$E1000, $D$2:$D1000=D294), 0)"),103.0)</f>
        <v>103</v>
      </c>
      <c r="H294" s="9" t="str">
        <f>IF(G294&lt;=VLOOKUP(D294, Interview_Slots!$A$2:$B$5, 2, FALSE), "Allocated", "Not Allocated")</f>
        <v>Not Allocated</v>
      </c>
    </row>
    <row r="295">
      <c r="A295" s="6" t="s">
        <v>620</v>
      </c>
      <c r="B295" s="6" t="s">
        <v>621</v>
      </c>
      <c r="C295" s="7" t="s">
        <v>65</v>
      </c>
      <c r="D295" s="6" t="s">
        <v>17</v>
      </c>
      <c r="E295" s="9">
        <v>72.5</v>
      </c>
      <c r="F295" s="6" t="s">
        <v>962</v>
      </c>
      <c r="G295" s="6">
        <f>IFERROR(__xludf.DUMMYFUNCTION("RANK(E295, FILTER($E$2:$E1000, $D$2:$D1000=D295), 0)"),89.0)</f>
        <v>89</v>
      </c>
      <c r="H295" s="9" t="str">
        <f>IF(G295&lt;=VLOOKUP(D295, Interview_Slots!$A$2:$B$5, 2, FALSE), "Allocated", "Not Allocated")</f>
        <v>Not Allocated</v>
      </c>
    </row>
    <row r="296">
      <c r="A296" s="6" t="s">
        <v>622</v>
      </c>
      <c r="B296" s="6" t="s">
        <v>623</v>
      </c>
      <c r="C296" s="7" t="s">
        <v>65</v>
      </c>
      <c r="D296" s="6" t="s">
        <v>32</v>
      </c>
      <c r="E296" s="9">
        <v>83.5</v>
      </c>
      <c r="F296" s="6" t="s">
        <v>962</v>
      </c>
      <c r="G296" s="6">
        <f>IFERROR(__xludf.DUMMYFUNCTION("RANK(E296, FILTER($E$2:$E1000, $D$2:$D1000=D296), 0)"),32.0)</f>
        <v>32</v>
      </c>
      <c r="H296" s="9" t="str">
        <f>IF(G296&lt;=VLOOKUP(D296, Interview_Slots!$A$2:$B$5, 2, FALSE), "Allocated", "Not Allocated")</f>
        <v>Allocated</v>
      </c>
    </row>
    <row r="297">
      <c r="A297" s="6" t="s">
        <v>624</v>
      </c>
      <c r="B297" s="6" t="s">
        <v>625</v>
      </c>
      <c r="C297" s="7" t="s">
        <v>28</v>
      </c>
      <c r="D297" s="6" t="s">
        <v>17</v>
      </c>
      <c r="E297" s="9">
        <v>69.65</v>
      </c>
      <c r="F297" s="6" t="s">
        <v>962</v>
      </c>
      <c r="G297" s="6">
        <f>IFERROR(__xludf.DUMMYFUNCTION("RANK(E297, FILTER($E$2:$E1000, $D$2:$D1000=D297), 0)"),97.0)</f>
        <v>97</v>
      </c>
      <c r="H297" s="9" t="str">
        <f>IF(G297&lt;=VLOOKUP(D297, Interview_Slots!$A$2:$B$5, 2, FALSE), "Allocated", "Not Allocated")</f>
        <v>Not Allocated</v>
      </c>
    </row>
    <row r="298">
      <c r="A298" s="6" t="s">
        <v>626</v>
      </c>
      <c r="B298" s="6" t="s">
        <v>627</v>
      </c>
      <c r="C298" s="7" t="s">
        <v>28</v>
      </c>
      <c r="D298" s="6" t="s">
        <v>25</v>
      </c>
      <c r="E298" s="9">
        <v>87.5</v>
      </c>
      <c r="F298" s="6" t="s">
        <v>962</v>
      </c>
      <c r="G298" s="6">
        <f>IFERROR(__xludf.DUMMYFUNCTION("RANK(E298, FILTER($E$2:$E1000, $D$2:$D1000=D298), 0)"),14.0)</f>
        <v>14</v>
      </c>
      <c r="H298" s="9" t="str">
        <f>IF(G298&lt;=VLOOKUP(D298, Interview_Slots!$A$2:$B$5, 2, FALSE), "Allocated", "Not Allocated")</f>
        <v>Allocated</v>
      </c>
    </row>
    <row r="299">
      <c r="A299" s="6" t="s">
        <v>628</v>
      </c>
      <c r="B299" s="6" t="s">
        <v>629</v>
      </c>
      <c r="C299" s="7" t="s">
        <v>28</v>
      </c>
      <c r="D299" s="6" t="s">
        <v>32</v>
      </c>
      <c r="E299" s="9">
        <v>78.9</v>
      </c>
      <c r="F299" s="6" t="s">
        <v>962</v>
      </c>
      <c r="G299" s="6">
        <f>IFERROR(__xludf.DUMMYFUNCTION("RANK(E299, FILTER($E$2:$E1000, $D$2:$D1000=D299), 0)"),46.0)</f>
        <v>46</v>
      </c>
      <c r="H299" s="9" t="str">
        <f>IF(G299&lt;=VLOOKUP(D299, Interview_Slots!$A$2:$B$5, 2, FALSE), "Allocated", "Not Allocated")</f>
        <v>Allocated</v>
      </c>
    </row>
    <row r="300">
      <c r="A300" s="6" t="s">
        <v>630</v>
      </c>
      <c r="B300" s="6" t="s">
        <v>631</v>
      </c>
      <c r="C300" s="7" t="s">
        <v>28</v>
      </c>
      <c r="D300" s="6" t="s">
        <v>32</v>
      </c>
      <c r="E300" s="9">
        <v>81.19999999999999</v>
      </c>
      <c r="F300" s="6" t="s">
        <v>962</v>
      </c>
      <c r="G300" s="6">
        <f>IFERROR(__xludf.DUMMYFUNCTION("RANK(E300, FILTER($E$2:$E1000, $D$2:$D1000=D300), 0)"),44.0)</f>
        <v>44</v>
      </c>
      <c r="H300" s="9" t="str">
        <f>IF(G300&lt;=VLOOKUP(D300, Interview_Slots!$A$2:$B$5, 2, FALSE), "Allocated", "Not Allocated")</f>
        <v>Allocated</v>
      </c>
    </row>
    <row r="301">
      <c r="A301" s="6" t="s">
        <v>632</v>
      </c>
      <c r="B301" s="6" t="s">
        <v>633</v>
      </c>
      <c r="C301" s="7" t="s">
        <v>41</v>
      </c>
      <c r="D301" s="6" t="s">
        <v>17</v>
      </c>
      <c r="E301" s="9">
        <v>74.35</v>
      </c>
      <c r="F301" s="6" t="s">
        <v>962</v>
      </c>
      <c r="G301" s="6">
        <f>IFERROR(__xludf.DUMMYFUNCTION("RANK(E301, FILTER($E$2:$E1000, $D$2:$D1000=D301), 0)"),84.0)</f>
        <v>84</v>
      </c>
      <c r="H301" s="9" t="str">
        <f>IF(G301&lt;=VLOOKUP(D301, Interview_Slots!$A$2:$B$5, 2, FALSE), "Allocated", "Not Allocated")</f>
        <v>Not Allocated</v>
      </c>
    </row>
    <row r="302">
      <c r="A302" s="6" t="s">
        <v>634</v>
      </c>
      <c r="B302" s="6" t="s">
        <v>635</v>
      </c>
      <c r="C302" s="7" t="s">
        <v>41</v>
      </c>
      <c r="D302" s="6" t="s">
        <v>21</v>
      </c>
      <c r="E302" s="9">
        <v>68.6</v>
      </c>
      <c r="F302" s="6" t="s">
        <v>963</v>
      </c>
      <c r="G302" s="6">
        <f>IFERROR(__xludf.DUMMYFUNCTION("RANK(E302, FILTER($E$2:$E1000, $D$2:$D1000=D302), 0)"),112.0)</f>
        <v>112</v>
      </c>
      <c r="H302" s="9" t="str">
        <f>IF(G302&lt;=VLOOKUP(D302, Interview_Slots!$A$2:$B$5, 2, FALSE), "Allocated", "Not Allocated")</f>
        <v>Not Allocated</v>
      </c>
    </row>
    <row r="303">
      <c r="A303" s="6" t="s">
        <v>636</v>
      </c>
      <c r="B303" s="6" t="s">
        <v>637</v>
      </c>
      <c r="C303" s="7" t="s">
        <v>41</v>
      </c>
      <c r="D303" s="6" t="s">
        <v>21</v>
      </c>
      <c r="E303" s="9">
        <v>75.6</v>
      </c>
      <c r="F303" s="6" t="s">
        <v>963</v>
      </c>
      <c r="G303" s="6">
        <f>IFERROR(__xludf.DUMMYFUNCTION("RANK(E303, FILTER($E$2:$E1000, $D$2:$D1000=D303), 0)"),70.0)</f>
        <v>70</v>
      </c>
      <c r="H303" s="9" t="str">
        <f>IF(G303&lt;=VLOOKUP(D303, Interview_Slots!$A$2:$B$5, 2, FALSE), "Allocated", "Not Allocated")</f>
        <v>Not Allocated</v>
      </c>
    </row>
    <row r="304">
      <c r="A304" s="6" t="s">
        <v>638</v>
      </c>
      <c r="B304" s="6" t="s">
        <v>639</v>
      </c>
      <c r="C304" s="7" t="s">
        <v>41</v>
      </c>
      <c r="D304" s="6" t="s">
        <v>32</v>
      </c>
      <c r="E304" s="9">
        <v>87.3</v>
      </c>
      <c r="F304" s="6" t="s">
        <v>962</v>
      </c>
      <c r="G304" s="6">
        <f>IFERROR(__xludf.DUMMYFUNCTION("RANK(E304, FILTER($E$2:$E1000, $D$2:$D1000=D304), 0)"),13.0)</f>
        <v>13</v>
      </c>
      <c r="H304" s="9" t="str">
        <f>IF(G304&lt;=VLOOKUP(D304, Interview_Slots!$A$2:$B$5, 2, FALSE), "Allocated", "Not Allocated")</f>
        <v>Allocated</v>
      </c>
    </row>
    <row r="305">
      <c r="A305" s="6" t="s">
        <v>640</v>
      </c>
      <c r="B305" s="6" t="s">
        <v>641</v>
      </c>
      <c r="C305" s="7" t="s">
        <v>53</v>
      </c>
      <c r="D305" s="6" t="s">
        <v>25</v>
      </c>
      <c r="E305" s="9">
        <v>76.15</v>
      </c>
      <c r="F305" s="6" t="s">
        <v>963</v>
      </c>
      <c r="G305" s="6">
        <f>IFERROR(__xludf.DUMMYFUNCTION("RANK(E305, FILTER($E$2:$E1000, $D$2:$D1000=D305), 0)"),68.0)</f>
        <v>68</v>
      </c>
      <c r="H305" s="9" t="str">
        <f>IF(G305&lt;=VLOOKUP(D305, Interview_Slots!$A$2:$B$5, 2, FALSE), "Allocated", "Not Allocated")</f>
        <v>Not Allocated</v>
      </c>
    </row>
    <row r="306">
      <c r="A306" s="6" t="s">
        <v>642</v>
      </c>
      <c r="B306" s="6" t="s">
        <v>643</v>
      </c>
      <c r="C306" s="7" t="s">
        <v>53</v>
      </c>
      <c r="D306" s="6" t="s">
        <v>25</v>
      </c>
      <c r="E306" s="9">
        <v>79.15</v>
      </c>
      <c r="F306" s="6" t="s">
        <v>962</v>
      </c>
      <c r="G306" s="6">
        <f>IFERROR(__xludf.DUMMYFUNCTION("RANK(E306, FILTER($E$2:$E1000, $D$2:$D1000=D306), 0)"),50.0)</f>
        <v>50</v>
      </c>
      <c r="H306" s="9" t="str">
        <f>IF(G306&lt;=VLOOKUP(D306, Interview_Slots!$A$2:$B$5, 2, FALSE), "Allocated", "Not Allocated")</f>
        <v>Not Allocated</v>
      </c>
    </row>
    <row r="307">
      <c r="A307" s="6" t="s">
        <v>644</v>
      </c>
      <c r="B307" s="6" t="s">
        <v>645</v>
      </c>
      <c r="C307" s="7" t="s">
        <v>53</v>
      </c>
      <c r="D307" s="6" t="s">
        <v>25</v>
      </c>
      <c r="E307" s="9">
        <v>76.75</v>
      </c>
      <c r="F307" s="6" t="s">
        <v>963</v>
      </c>
      <c r="G307" s="6">
        <f>IFERROR(__xludf.DUMMYFUNCTION("RANK(E307, FILTER($E$2:$E1000, $D$2:$D1000=D307), 0)"),63.0)</f>
        <v>63</v>
      </c>
      <c r="H307" s="9" t="str">
        <f>IF(G307&lt;=VLOOKUP(D307, Interview_Slots!$A$2:$B$5, 2, FALSE), "Allocated", "Not Allocated")</f>
        <v>Not Allocated</v>
      </c>
    </row>
    <row r="308">
      <c r="A308" s="6" t="s">
        <v>646</v>
      </c>
      <c r="B308" s="6" t="s">
        <v>647</v>
      </c>
      <c r="C308" s="7" t="s">
        <v>53</v>
      </c>
      <c r="D308" s="6" t="s">
        <v>25</v>
      </c>
      <c r="E308" s="9">
        <v>85.95</v>
      </c>
      <c r="F308" s="6" t="s">
        <v>962</v>
      </c>
      <c r="G308" s="6">
        <f>IFERROR(__xludf.DUMMYFUNCTION("RANK(E308, FILTER($E$2:$E1000, $D$2:$D1000=D308), 0)"),20.0)</f>
        <v>20</v>
      </c>
      <c r="H308" s="9" t="str">
        <f>IF(G308&lt;=VLOOKUP(D308, Interview_Slots!$A$2:$B$5, 2, FALSE), "Allocated", "Not Allocated")</f>
        <v>Allocated</v>
      </c>
    </row>
    <row r="309">
      <c r="A309" s="6" t="s">
        <v>648</v>
      </c>
      <c r="B309" s="6" t="s">
        <v>649</v>
      </c>
      <c r="C309" s="7" t="s">
        <v>65</v>
      </c>
      <c r="D309" s="6" t="s">
        <v>32</v>
      </c>
      <c r="E309" s="9">
        <v>69.9</v>
      </c>
      <c r="F309" s="6" t="s">
        <v>962</v>
      </c>
      <c r="G309" s="6">
        <f>IFERROR(__xludf.DUMMYFUNCTION("RANK(E309, FILTER($E$2:$E1000, $D$2:$D1000=D309), 0)"),88.0)</f>
        <v>88</v>
      </c>
      <c r="H309" s="9" t="str">
        <f>IF(G309&lt;=VLOOKUP(D309, Interview_Slots!$A$2:$B$5, 2, FALSE), "Allocated", "Not Allocated")</f>
        <v>Not Allocated</v>
      </c>
    </row>
    <row r="310">
      <c r="A310" s="6" t="s">
        <v>650</v>
      </c>
      <c r="B310" s="6" t="s">
        <v>651</v>
      </c>
      <c r="C310" s="7" t="s">
        <v>65</v>
      </c>
      <c r="D310" s="6" t="s">
        <v>17</v>
      </c>
      <c r="E310" s="9">
        <v>74.4</v>
      </c>
      <c r="F310" s="6" t="s">
        <v>962</v>
      </c>
      <c r="G310" s="6">
        <f>IFERROR(__xludf.DUMMYFUNCTION("RANK(E310, FILTER($E$2:$E1000, $D$2:$D1000=D310), 0)"),83.0)</f>
        <v>83</v>
      </c>
      <c r="H310" s="9" t="str">
        <f>IF(G310&lt;=VLOOKUP(D310, Interview_Slots!$A$2:$B$5, 2, FALSE), "Allocated", "Not Allocated")</f>
        <v>Not Allocated</v>
      </c>
    </row>
    <row r="311">
      <c r="A311" s="6" t="s">
        <v>652</v>
      </c>
      <c r="B311" s="6" t="s">
        <v>653</v>
      </c>
      <c r="C311" s="7" t="s">
        <v>65</v>
      </c>
      <c r="D311" s="6" t="s">
        <v>21</v>
      </c>
      <c r="E311" s="9">
        <v>90.69999999999999</v>
      </c>
      <c r="F311" s="6" t="s">
        <v>962</v>
      </c>
      <c r="G311" s="6">
        <f>IFERROR(__xludf.DUMMYFUNCTION("RANK(E311, FILTER($E$2:$E1000, $D$2:$D1000=D311), 0)"),7.0)</f>
        <v>7</v>
      </c>
      <c r="H311" s="9" t="str">
        <f>IF(G311&lt;=VLOOKUP(D311, Interview_Slots!$A$2:$B$5, 2, FALSE), "Allocated", "Not Allocated")</f>
        <v>Allocated</v>
      </c>
    </row>
    <row r="312">
      <c r="A312" s="6" t="s">
        <v>654</v>
      </c>
      <c r="B312" s="6" t="s">
        <v>655</v>
      </c>
      <c r="C312" s="7" t="s">
        <v>28</v>
      </c>
      <c r="D312" s="6" t="s">
        <v>32</v>
      </c>
      <c r="E312" s="9">
        <v>85.15</v>
      </c>
      <c r="F312" s="6" t="s">
        <v>962</v>
      </c>
      <c r="G312" s="6">
        <f>IFERROR(__xludf.DUMMYFUNCTION("RANK(E312, FILTER($E$2:$E1000, $D$2:$D1000=D312), 0)"),25.0)</f>
        <v>25</v>
      </c>
      <c r="H312" s="9" t="str">
        <f>IF(G312&lt;=VLOOKUP(D312, Interview_Slots!$A$2:$B$5, 2, FALSE), "Allocated", "Not Allocated")</f>
        <v>Allocated</v>
      </c>
    </row>
    <row r="313">
      <c r="A313" s="6" t="s">
        <v>656</v>
      </c>
      <c r="B313" s="6" t="s">
        <v>657</v>
      </c>
      <c r="C313" s="7" t="s">
        <v>28</v>
      </c>
      <c r="D313" s="6" t="s">
        <v>32</v>
      </c>
      <c r="E313" s="9">
        <v>69.4</v>
      </c>
      <c r="F313" s="6" t="s">
        <v>962</v>
      </c>
      <c r="G313" s="6">
        <f>IFERROR(__xludf.DUMMYFUNCTION("RANK(E313, FILTER($E$2:$E1000, $D$2:$D1000=D313), 0)"),90.0)</f>
        <v>90</v>
      </c>
      <c r="H313" s="9" t="str">
        <f>IF(G313&lt;=VLOOKUP(D313, Interview_Slots!$A$2:$B$5, 2, FALSE), "Allocated", "Not Allocated")</f>
        <v>Not Allocated</v>
      </c>
    </row>
    <row r="314">
      <c r="A314" s="6" t="s">
        <v>658</v>
      </c>
      <c r="B314" s="6" t="s">
        <v>659</v>
      </c>
      <c r="C314" s="7" t="s">
        <v>28</v>
      </c>
      <c r="D314" s="6" t="s">
        <v>17</v>
      </c>
      <c r="E314" s="9">
        <v>79.44999999999999</v>
      </c>
      <c r="F314" s="6" t="s">
        <v>962</v>
      </c>
      <c r="G314" s="6">
        <f>IFERROR(__xludf.DUMMYFUNCTION("RANK(E314, FILTER($E$2:$E1000, $D$2:$D1000=D314), 0)"),53.0)</f>
        <v>53</v>
      </c>
      <c r="H314" s="9" t="str">
        <f>IF(G314&lt;=VLOOKUP(D314, Interview_Slots!$A$2:$B$5, 2, FALSE), "Allocated", "Not Allocated")</f>
        <v>Allocated</v>
      </c>
    </row>
    <row r="315">
      <c r="A315" s="6" t="s">
        <v>660</v>
      </c>
      <c r="B315" s="6" t="s">
        <v>661</v>
      </c>
      <c r="C315" s="7" t="s">
        <v>28</v>
      </c>
      <c r="D315" s="6" t="s">
        <v>21</v>
      </c>
      <c r="E315" s="9">
        <v>83.15</v>
      </c>
      <c r="F315" s="6" t="s">
        <v>963</v>
      </c>
      <c r="G315" s="6">
        <f>IFERROR(__xludf.DUMMYFUNCTION("RANK(E315, FILTER($E$2:$E1000, $D$2:$D1000=D315), 0)"),23.0)</f>
        <v>23</v>
      </c>
      <c r="H315" s="9" t="str">
        <f>IF(G315&lt;=VLOOKUP(D315, Interview_Slots!$A$2:$B$5, 2, FALSE), "Allocated", "Not Allocated")</f>
        <v>Allocated</v>
      </c>
    </row>
    <row r="316">
      <c r="A316" s="6" t="s">
        <v>662</v>
      </c>
      <c r="B316" s="6" t="s">
        <v>663</v>
      </c>
      <c r="C316" s="7" t="s">
        <v>41</v>
      </c>
      <c r="D316" s="6" t="s">
        <v>21</v>
      </c>
      <c r="E316" s="9">
        <v>65.1</v>
      </c>
      <c r="F316" s="6" t="s">
        <v>963</v>
      </c>
      <c r="G316" s="6">
        <f>IFERROR(__xludf.DUMMYFUNCTION("RANK(E316, FILTER($E$2:$E1000, $D$2:$D1000=D316), 0)"),126.0)</f>
        <v>126</v>
      </c>
      <c r="H316" s="9" t="str">
        <f>IF(G316&lt;=VLOOKUP(D316, Interview_Slots!$A$2:$B$5, 2, FALSE), "Allocated", "Not Allocated")</f>
        <v>Not Allocated</v>
      </c>
    </row>
    <row r="317">
      <c r="A317" s="6" t="s">
        <v>664</v>
      </c>
      <c r="B317" s="6" t="s">
        <v>665</v>
      </c>
      <c r="C317" s="7" t="s">
        <v>41</v>
      </c>
      <c r="D317" s="6" t="s">
        <v>21</v>
      </c>
      <c r="E317" s="9">
        <v>75.35</v>
      </c>
      <c r="F317" s="6" t="s">
        <v>963</v>
      </c>
      <c r="G317" s="6">
        <f>IFERROR(__xludf.DUMMYFUNCTION("RANK(E317, FILTER($E$2:$E1000, $D$2:$D1000=D317), 0)"),71.0)</f>
        <v>71</v>
      </c>
      <c r="H317" s="9" t="str">
        <f>IF(G317&lt;=VLOOKUP(D317, Interview_Slots!$A$2:$B$5, 2, FALSE), "Allocated", "Not Allocated")</f>
        <v>Not Allocated</v>
      </c>
    </row>
    <row r="318">
      <c r="A318" s="6" t="s">
        <v>666</v>
      </c>
      <c r="B318" s="6" t="s">
        <v>667</v>
      </c>
      <c r="C318" s="7" t="s">
        <v>41</v>
      </c>
      <c r="D318" s="6" t="s">
        <v>25</v>
      </c>
      <c r="E318" s="9">
        <v>77.85</v>
      </c>
      <c r="F318" s="6" t="s">
        <v>963</v>
      </c>
      <c r="G318" s="6">
        <f>IFERROR(__xludf.DUMMYFUNCTION("RANK(E318, FILTER($E$2:$E1000, $D$2:$D1000=D318), 0)"),57.0)</f>
        <v>57</v>
      </c>
      <c r="H318" s="9" t="str">
        <f>IF(G318&lt;=VLOOKUP(D318, Interview_Slots!$A$2:$B$5, 2, FALSE), "Allocated", "Not Allocated")</f>
        <v>Not Allocated</v>
      </c>
    </row>
    <row r="319">
      <c r="A319" s="6" t="s">
        <v>668</v>
      </c>
      <c r="B319" s="6" t="s">
        <v>669</v>
      </c>
      <c r="C319" s="7" t="s">
        <v>41</v>
      </c>
      <c r="D319" s="6" t="s">
        <v>25</v>
      </c>
      <c r="E319" s="9">
        <v>89.75</v>
      </c>
      <c r="F319" s="6" t="s">
        <v>962</v>
      </c>
      <c r="G319" s="6">
        <f>IFERROR(__xludf.DUMMYFUNCTION("RANK(E319, FILTER($E$2:$E1000, $D$2:$D1000=D319), 0)"),8.0)</f>
        <v>8</v>
      </c>
      <c r="H319" s="9" t="str">
        <f>IF(G319&lt;=VLOOKUP(D319, Interview_Slots!$A$2:$B$5, 2, FALSE), "Allocated", "Not Allocated")</f>
        <v>Allocated</v>
      </c>
    </row>
    <row r="320">
      <c r="A320" s="6" t="s">
        <v>670</v>
      </c>
      <c r="B320" s="6" t="s">
        <v>671</v>
      </c>
      <c r="C320" s="7" t="s">
        <v>53</v>
      </c>
      <c r="D320" s="6" t="s">
        <v>25</v>
      </c>
      <c r="E320" s="9">
        <v>69.55</v>
      </c>
      <c r="F320" s="6" t="s">
        <v>963</v>
      </c>
      <c r="G320" s="6">
        <f>IFERROR(__xludf.DUMMYFUNCTION("RANK(E320, FILTER($E$2:$E1000, $D$2:$D1000=D320), 0)"),100.0)</f>
        <v>100</v>
      </c>
      <c r="H320" s="9" t="str">
        <f>IF(G320&lt;=VLOOKUP(D320, Interview_Slots!$A$2:$B$5, 2, FALSE), "Allocated", "Not Allocated")</f>
        <v>Not Allocated</v>
      </c>
    </row>
    <row r="321">
      <c r="A321" s="6" t="s">
        <v>672</v>
      </c>
      <c r="B321" s="6" t="s">
        <v>673</v>
      </c>
      <c r="C321" s="7" t="s">
        <v>53</v>
      </c>
      <c r="D321" s="6" t="s">
        <v>17</v>
      </c>
      <c r="E321" s="9">
        <v>74.05</v>
      </c>
      <c r="F321" s="6" t="s">
        <v>962</v>
      </c>
      <c r="G321" s="6">
        <f>IFERROR(__xludf.DUMMYFUNCTION("RANK(E321, FILTER($E$2:$E1000, $D$2:$D1000=D321), 0)"),86.0)</f>
        <v>86</v>
      </c>
      <c r="H321" s="9" t="str">
        <f>IF(G321&lt;=VLOOKUP(D321, Interview_Slots!$A$2:$B$5, 2, FALSE), "Allocated", "Not Allocated")</f>
        <v>Not Allocated</v>
      </c>
    </row>
    <row r="322">
      <c r="A322" s="6" t="s">
        <v>674</v>
      </c>
      <c r="B322" s="6" t="s">
        <v>675</v>
      </c>
      <c r="C322" s="7" t="s">
        <v>53</v>
      </c>
      <c r="D322" s="6" t="s">
        <v>21</v>
      </c>
      <c r="E322" s="9">
        <v>92.85</v>
      </c>
      <c r="F322" s="6" t="s">
        <v>963</v>
      </c>
      <c r="G322" s="6">
        <f>IFERROR(__xludf.DUMMYFUNCTION("RANK(E322, FILTER($E$2:$E1000, $D$2:$D1000=D322), 0)"),3.0)</f>
        <v>3</v>
      </c>
      <c r="H322" s="9" t="str">
        <f>IF(G322&lt;=VLOOKUP(D322, Interview_Slots!$A$2:$B$5, 2, FALSE), "Allocated", "Not Allocated")</f>
        <v>Allocated</v>
      </c>
    </row>
    <row r="323">
      <c r="A323" s="6" t="s">
        <v>676</v>
      </c>
      <c r="B323" s="6" t="s">
        <v>677</v>
      </c>
      <c r="C323" s="7" t="s">
        <v>53</v>
      </c>
      <c r="D323" s="6" t="s">
        <v>17</v>
      </c>
      <c r="E323" s="9">
        <v>75.1</v>
      </c>
      <c r="F323" s="6" t="s">
        <v>962</v>
      </c>
      <c r="G323" s="6">
        <f>IFERROR(__xludf.DUMMYFUNCTION("RANK(E323, FILTER($E$2:$E1000, $D$2:$D1000=D323), 0)"),80.0)</f>
        <v>80</v>
      </c>
      <c r="H323" s="9" t="str">
        <f>IF(G323&lt;=VLOOKUP(D323, Interview_Slots!$A$2:$B$5, 2, FALSE), "Allocated", "Not Allocated")</f>
        <v>Allocated</v>
      </c>
    </row>
    <row r="324">
      <c r="A324" s="6" t="s">
        <v>678</v>
      </c>
      <c r="B324" s="6" t="s">
        <v>679</v>
      </c>
      <c r="C324" s="7" t="s">
        <v>65</v>
      </c>
      <c r="D324" s="6" t="s">
        <v>21</v>
      </c>
      <c r="E324" s="9">
        <v>67.15</v>
      </c>
      <c r="F324" s="6" t="s">
        <v>963</v>
      </c>
      <c r="G324" s="6">
        <f>IFERROR(__xludf.DUMMYFUNCTION("RANK(E324, FILTER($E$2:$E1000, $D$2:$D1000=D324), 0)"),118.0)</f>
        <v>118</v>
      </c>
      <c r="H324" s="9" t="str">
        <f>IF(G324&lt;=VLOOKUP(D324, Interview_Slots!$A$2:$B$5, 2, FALSE), "Allocated", "Not Allocated")</f>
        <v>Not Allocated</v>
      </c>
    </row>
    <row r="325">
      <c r="A325" s="6" t="s">
        <v>680</v>
      </c>
      <c r="B325" s="6" t="s">
        <v>681</v>
      </c>
      <c r="C325" s="7" t="s">
        <v>65</v>
      </c>
      <c r="D325" s="6" t="s">
        <v>32</v>
      </c>
      <c r="E325" s="9">
        <v>66.9</v>
      </c>
      <c r="F325" s="6" t="s">
        <v>962</v>
      </c>
      <c r="G325" s="6">
        <f>IFERROR(__xludf.DUMMYFUNCTION("RANK(E325, FILTER($E$2:$E1000, $D$2:$D1000=D325), 0)"),101.0)</f>
        <v>101</v>
      </c>
      <c r="H325" s="9" t="str">
        <f>IF(G325&lt;=VLOOKUP(D325, Interview_Slots!$A$2:$B$5, 2, FALSE), "Allocated", "Not Allocated")</f>
        <v>Not Allocated</v>
      </c>
    </row>
    <row r="326">
      <c r="A326" s="6" t="s">
        <v>682</v>
      </c>
      <c r="B326" s="6" t="s">
        <v>683</v>
      </c>
      <c r="C326" s="7" t="s">
        <v>65</v>
      </c>
      <c r="D326" s="6" t="s">
        <v>32</v>
      </c>
      <c r="E326" s="9">
        <v>81.5</v>
      </c>
      <c r="F326" s="6" t="s">
        <v>962</v>
      </c>
      <c r="G326" s="6">
        <f>IFERROR(__xludf.DUMMYFUNCTION("RANK(E326, FILTER($E$2:$E1000, $D$2:$D1000=D326), 0)"),42.0)</f>
        <v>42</v>
      </c>
      <c r="H326" s="9" t="str">
        <f>IF(G326&lt;=VLOOKUP(D326, Interview_Slots!$A$2:$B$5, 2, FALSE), "Allocated", "Not Allocated")</f>
        <v>Allocated</v>
      </c>
    </row>
    <row r="327">
      <c r="A327" s="6" t="s">
        <v>684</v>
      </c>
      <c r="B327" s="6" t="s">
        <v>685</v>
      </c>
      <c r="C327" s="7" t="s">
        <v>65</v>
      </c>
      <c r="D327" s="6" t="s">
        <v>17</v>
      </c>
      <c r="E327" s="9">
        <v>70.0</v>
      </c>
      <c r="F327" s="6" t="s">
        <v>962</v>
      </c>
      <c r="G327" s="6">
        <f>IFERROR(__xludf.DUMMYFUNCTION("RANK(E327, FILTER($E$2:$E1000, $D$2:$D1000=D327), 0)"),96.0)</f>
        <v>96</v>
      </c>
      <c r="H327" s="9" t="str">
        <f>IF(G327&lt;=VLOOKUP(D327, Interview_Slots!$A$2:$B$5, 2, FALSE), "Allocated", "Not Allocated")</f>
        <v>Not Allocated</v>
      </c>
    </row>
    <row r="328">
      <c r="A328" s="6" t="s">
        <v>686</v>
      </c>
      <c r="B328" s="6" t="s">
        <v>687</v>
      </c>
      <c r="C328" s="7" t="s">
        <v>28</v>
      </c>
      <c r="D328" s="6" t="s">
        <v>21</v>
      </c>
      <c r="E328" s="9">
        <v>76.8</v>
      </c>
      <c r="F328" s="6" t="s">
        <v>962</v>
      </c>
      <c r="G328" s="6">
        <f>IFERROR(__xludf.DUMMYFUNCTION("RANK(E328, FILTER($E$2:$E1000, $D$2:$D1000=D328), 0)"),63.0)</f>
        <v>63</v>
      </c>
      <c r="H328" s="9" t="str">
        <f>IF(G328&lt;=VLOOKUP(D328, Interview_Slots!$A$2:$B$5, 2, FALSE), "Allocated", "Not Allocated")</f>
        <v>Not Allocated</v>
      </c>
    </row>
    <row r="329">
      <c r="A329" s="6" t="s">
        <v>688</v>
      </c>
      <c r="B329" s="6" t="s">
        <v>689</v>
      </c>
      <c r="C329" s="7" t="s">
        <v>28</v>
      </c>
      <c r="D329" s="6" t="s">
        <v>21</v>
      </c>
      <c r="E329" s="9">
        <v>78.4</v>
      </c>
      <c r="F329" s="6" t="s">
        <v>962</v>
      </c>
      <c r="G329" s="6">
        <f>IFERROR(__xludf.DUMMYFUNCTION("RANK(E329, FILTER($E$2:$E1000, $D$2:$D1000=D329), 0)"),55.0)</f>
        <v>55</v>
      </c>
      <c r="H329" s="9" t="str">
        <f>IF(G329&lt;=VLOOKUP(D329, Interview_Slots!$A$2:$B$5, 2, FALSE), "Allocated", "Not Allocated")</f>
        <v>Not Allocated</v>
      </c>
    </row>
    <row r="330">
      <c r="A330" s="6" t="s">
        <v>690</v>
      </c>
      <c r="B330" s="6" t="s">
        <v>691</v>
      </c>
      <c r="C330" s="7" t="s">
        <v>28</v>
      </c>
      <c r="D330" s="6" t="s">
        <v>21</v>
      </c>
      <c r="E330" s="9">
        <v>93.6</v>
      </c>
      <c r="F330" s="6" t="s">
        <v>962</v>
      </c>
      <c r="G330" s="6">
        <f>IFERROR(__xludf.DUMMYFUNCTION("RANK(E330, FILTER($E$2:$E1000, $D$2:$D1000=D330), 0)"),2.0)</f>
        <v>2</v>
      </c>
      <c r="H330" s="9" t="str">
        <f>IF(G330&lt;=VLOOKUP(D330, Interview_Slots!$A$2:$B$5, 2, FALSE), "Allocated", "Not Allocated")</f>
        <v>Allocated</v>
      </c>
    </row>
    <row r="331">
      <c r="A331" s="6" t="s">
        <v>692</v>
      </c>
      <c r="B331" s="6" t="s">
        <v>693</v>
      </c>
      <c r="C331" s="7" t="s">
        <v>28</v>
      </c>
      <c r="D331" s="6" t="s">
        <v>25</v>
      </c>
      <c r="E331" s="9">
        <v>71.05</v>
      </c>
      <c r="F331" s="6" t="s">
        <v>963</v>
      </c>
      <c r="G331" s="6">
        <f>IFERROR(__xludf.DUMMYFUNCTION("RANK(E331, FILTER($E$2:$E1000, $D$2:$D1000=D331), 0)"),91.0)</f>
        <v>91</v>
      </c>
      <c r="H331" s="9" t="str">
        <f>IF(G331&lt;=VLOOKUP(D331, Interview_Slots!$A$2:$B$5, 2, FALSE), "Allocated", "Not Allocated")</f>
        <v>Not Allocated</v>
      </c>
    </row>
    <row r="332">
      <c r="A332" s="6" t="s">
        <v>694</v>
      </c>
      <c r="B332" s="6" t="s">
        <v>695</v>
      </c>
      <c r="C332" s="7" t="s">
        <v>41</v>
      </c>
      <c r="D332" s="6" t="s">
        <v>25</v>
      </c>
      <c r="E332" s="9">
        <v>70.35</v>
      </c>
      <c r="F332" s="6" t="s">
        <v>963</v>
      </c>
      <c r="G332" s="6">
        <f>IFERROR(__xludf.DUMMYFUNCTION("RANK(E332, FILTER($E$2:$E1000, $D$2:$D1000=D332), 0)"),96.0)</f>
        <v>96</v>
      </c>
      <c r="H332" s="9" t="str">
        <f>IF(G332&lt;=VLOOKUP(D332, Interview_Slots!$A$2:$B$5, 2, FALSE), "Allocated", "Not Allocated")</f>
        <v>Not Allocated</v>
      </c>
    </row>
    <row r="333">
      <c r="A333" s="6" t="s">
        <v>696</v>
      </c>
      <c r="B333" s="6" t="s">
        <v>697</v>
      </c>
      <c r="C333" s="7" t="s">
        <v>41</v>
      </c>
      <c r="D333" s="6" t="s">
        <v>25</v>
      </c>
      <c r="E333" s="9">
        <v>87.25</v>
      </c>
      <c r="F333" s="6" t="s">
        <v>962</v>
      </c>
      <c r="G333" s="6">
        <f>IFERROR(__xludf.DUMMYFUNCTION("RANK(E333, FILTER($E$2:$E1000, $D$2:$D1000=D333), 0)"),16.0)</f>
        <v>16</v>
      </c>
      <c r="H333" s="9" t="str">
        <f>IF(G333&lt;=VLOOKUP(D333, Interview_Slots!$A$2:$B$5, 2, FALSE), "Allocated", "Not Allocated")</f>
        <v>Allocated</v>
      </c>
    </row>
    <row r="334">
      <c r="A334" s="6" t="s">
        <v>698</v>
      </c>
      <c r="B334" s="6" t="s">
        <v>699</v>
      </c>
      <c r="C334" s="7" t="s">
        <v>41</v>
      </c>
      <c r="D334" s="6" t="s">
        <v>17</v>
      </c>
      <c r="E334" s="9">
        <v>85.39999999999999</v>
      </c>
      <c r="F334" s="6" t="s">
        <v>962</v>
      </c>
      <c r="G334" s="6">
        <f>IFERROR(__xludf.DUMMYFUNCTION("RANK(E334, FILTER($E$2:$E1000, $D$2:$D1000=D334), 0)"),24.0)</f>
        <v>24</v>
      </c>
      <c r="H334" s="9" t="str">
        <f>IF(G334&lt;=VLOOKUP(D334, Interview_Slots!$A$2:$B$5, 2, FALSE), "Allocated", "Not Allocated")</f>
        <v>Allocated</v>
      </c>
    </row>
    <row r="335">
      <c r="A335" s="6" t="s">
        <v>700</v>
      </c>
      <c r="B335" s="6" t="s">
        <v>701</v>
      </c>
      <c r="C335" s="7" t="s">
        <v>41</v>
      </c>
      <c r="D335" s="6" t="s">
        <v>32</v>
      </c>
      <c r="E335" s="9">
        <v>83.94999999999999</v>
      </c>
      <c r="F335" s="6" t="s">
        <v>962</v>
      </c>
      <c r="G335" s="6">
        <f>IFERROR(__xludf.DUMMYFUNCTION("RANK(E335, FILTER($E$2:$E1000, $D$2:$D1000=D335), 0)"),30.0)</f>
        <v>30</v>
      </c>
      <c r="H335" s="9" t="str">
        <f>IF(G335&lt;=VLOOKUP(D335, Interview_Slots!$A$2:$B$5, 2, FALSE), "Allocated", "Not Allocated")</f>
        <v>Allocated</v>
      </c>
    </row>
    <row r="336">
      <c r="A336" s="6" t="s">
        <v>702</v>
      </c>
      <c r="B336" s="6" t="s">
        <v>703</v>
      </c>
      <c r="C336" s="7" t="s">
        <v>53</v>
      </c>
      <c r="D336" s="6" t="s">
        <v>25</v>
      </c>
      <c r="E336" s="9">
        <v>86.4</v>
      </c>
      <c r="F336" s="6" t="s">
        <v>962</v>
      </c>
      <c r="G336" s="6">
        <f>IFERROR(__xludf.DUMMYFUNCTION("RANK(E336, FILTER($E$2:$E1000, $D$2:$D1000=D336), 0)"),18.0)</f>
        <v>18</v>
      </c>
      <c r="H336" s="9" t="str">
        <f>IF(G336&lt;=VLOOKUP(D336, Interview_Slots!$A$2:$B$5, 2, FALSE), "Allocated", "Not Allocated")</f>
        <v>Allocated</v>
      </c>
    </row>
    <row r="337">
      <c r="A337" s="6" t="s">
        <v>704</v>
      </c>
      <c r="B337" s="6" t="s">
        <v>705</v>
      </c>
      <c r="C337" s="7" t="s">
        <v>53</v>
      </c>
      <c r="D337" s="6" t="s">
        <v>21</v>
      </c>
      <c r="E337" s="9">
        <v>72.15</v>
      </c>
      <c r="F337" s="6" t="s">
        <v>962</v>
      </c>
      <c r="G337" s="6">
        <f>IFERROR(__xludf.DUMMYFUNCTION("RANK(E337, FILTER($E$2:$E1000, $D$2:$D1000=D337), 0)"),94.0)</f>
        <v>94</v>
      </c>
      <c r="H337" s="9" t="str">
        <f>IF(G337&lt;=VLOOKUP(D337, Interview_Slots!$A$2:$B$5, 2, FALSE), "Allocated", "Not Allocated")</f>
        <v>Not Allocated</v>
      </c>
    </row>
    <row r="338">
      <c r="A338" s="6" t="s">
        <v>706</v>
      </c>
      <c r="B338" s="6" t="s">
        <v>707</v>
      </c>
      <c r="C338" s="7" t="s">
        <v>53</v>
      </c>
      <c r="D338" s="6" t="s">
        <v>32</v>
      </c>
      <c r="E338" s="9">
        <v>82.94999999999999</v>
      </c>
      <c r="F338" s="6" t="s">
        <v>962</v>
      </c>
      <c r="G338" s="6">
        <f>IFERROR(__xludf.DUMMYFUNCTION("RANK(E338, FILTER($E$2:$E1000, $D$2:$D1000=D338), 0)"),37.0)</f>
        <v>37</v>
      </c>
      <c r="H338" s="9" t="str">
        <f>IF(G338&lt;=VLOOKUP(D338, Interview_Slots!$A$2:$B$5, 2, FALSE), "Allocated", "Not Allocated")</f>
        <v>Allocated</v>
      </c>
    </row>
    <row r="339">
      <c r="A339" s="6" t="s">
        <v>708</v>
      </c>
      <c r="B339" s="6" t="s">
        <v>709</v>
      </c>
      <c r="C339" s="7" t="s">
        <v>53</v>
      </c>
      <c r="D339" s="6" t="s">
        <v>32</v>
      </c>
      <c r="E339" s="9">
        <v>68.25</v>
      </c>
      <c r="F339" s="6" t="s">
        <v>962</v>
      </c>
      <c r="G339" s="6">
        <f>IFERROR(__xludf.DUMMYFUNCTION("RANK(E339, FILTER($E$2:$E1000, $D$2:$D1000=D339), 0)"),94.0)</f>
        <v>94</v>
      </c>
      <c r="H339" s="9" t="str">
        <f>IF(G339&lt;=VLOOKUP(D339, Interview_Slots!$A$2:$B$5, 2, FALSE), "Allocated", "Not Allocated")</f>
        <v>Not Allocated</v>
      </c>
    </row>
    <row r="340">
      <c r="A340" s="6" t="s">
        <v>710</v>
      </c>
      <c r="B340" s="6" t="s">
        <v>711</v>
      </c>
      <c r="C340" s="7" t="s">
        <v>65</v>
      </c>
      <c r="D340" s="6" t="s">
        <v>17</v>
      </c>
      <c r="E340" s="9">
        <v>76.3</v>
      </c>
      <c r="F340" s="6" t="s">
        <v>962</v>
      </c>
      <c r="G340" s="6">
        <f>IFERROR(__xludf.DUMMYFUNCTION("RANK(E340, FILTER($E$2:$E1000, $D$2:$D1000=D340), 0)"),72.0)</f>
        <v>72</v>
      </c>
      <c r="H340" s="9" t="str">
        <f>IF(G340&lt;=VLOOKUP(D340, Interview_Slots!$A$2:$B$5, 2, FALSE), "Allocated", "Not Allocated")</f>
        <v>Allocated</v>
      </c>
    </row>
    <row r="341">
      <c r="A341" s="6" t="s">
        <v>712</v>
      </c>
      <c r="B341" s="6" t="s">
        <v>713</v>
      </c>
      <c r="C341" s="7" t="s">
        <v>65</v>
      </c>
      <c r="D341" s="6" t="s">
        <v>21</v>
      </c>
      <c r="E341" s="9">
        <v>63.85</v>
      </c>
      <c r="F341" s="6" t="s">
        <v>963</v>
      </c>
      <c r="G341" s="6">
        <f>IFERROR(__xludf.DUMMYFUNCTION("RANK(E341, FILTER($E$2:$E1000, $D$2:$D1000=D341), 0)"),130.0)</f>
        <v>130</v>
      </c>
      <c r="H341" s="9" t="str">
        <f>IF(G341&lt;=VLOOKUP(D341, Interview_Slots!$A$2:$B$5, 2, FALSE), "Allocated", "Not Allocated")</f>
        <v>Not Allocated</v>
      </c>
    </row>
    <row r="342">
      <c r="A342" s="6" t="s">
        <v>714</v>
      </c>
      <c r="B342" s="6" t="s">
        <v>715</v>
      </c>
      <c r="C342" s="7" t="s">
        <v>65</v>
      </c>
      <c r="D342" s="6" t="s">
        <v>21</v>
      </c>
      <c r="E342" s="9">
        <v>70.0</v>
      </c>
      <c r="F342" s="6" t="s">
        <v>963</v>
      </c>
      <c r="G342" s="6">
        <f>IFERROR(__xludf.DUMMYFUNCTION("RANK(E342, FILTER($E$2:$E1000, $D$2:$D1000=D342), 0)"),103.0)</f>
        <v>103</v>
      </c>
      <c r="H342" s="9" t="str">
        <f>IF(G342&lt;=VLOOKUP(D342, Interview_Slots!$A$2:$B$5, 2, FALSE), "Allocated", "Not Allocated")</f>
        <v>Not Allocated</v>
      </c>
    </row>
    <row r="343">
      <c r="A343" s="6" t="s">
        <v>716</v>
      </c>
      <c r="B343" s="6" t="s">
        <v>717</v>
      </c>
      <c r="C343" s="7" t="s">
        <v>28</v>
      </c>
      <c r="D343" s="6" t="s">
        <v>32</v>
      </c>
      <c r="E343" s="9">
        <v>87.8</v>
      </c>
      <c r="F343" s="6" t="s">
        <v>962</v>
      </c>
      <c r="G343" s="6">
        <f>IFERROR(__xludf.DUMMYFUNCTION("RANK(E343, FILTER($E$2:$E1000, $D$2:$D1000=D343), 0)"),11.0)</f>
        <v>11</v>
      </c>
      <c r="H343" s="9" t="str">
        <f>IF(G343&lt;=VLOOKUP(D343, Interview_Slots!$A$2:$B$5, 2, FALSE), "Allocated", "Not Allocated")</f>
        <v>Allocated</v>
      </c>
    </row>
    <row r="344">
      <c r="A344" s="6" t="s">
        <v>718</v>
      </c>
      <c r="B344" s="6" t="s">
        <v>719</v>
      </c>
      <c r="C344" s="7" t="s">
        <v>28</v>
      </c>
      <c r="D344" s="6" t="s">
        <v>25</v>
      </c>
      <c r="E344" s="9">
        <v>77.69999999999999</v>
      </c>
      <c r="F344" s="6" t="s">
        <v>962</v>
      </c>
      <c r="G344" s="6">
        <f>IFERROR(__xludf.DUMMYFUNCTION("RANK(E344, FILTER($E$2:$E1000, $D$2:$D1000=D344), 0)"),59.0)</f>
        <v>59</v>
      </c>
      <c r="H344" s="9" t="str">
        <f>IF(G344&lt;=VLOOKUP(D344, Interview_Slots!$A$2:$B$5, 2, FALSE), "Allocated", "Not Allocated")</f>
        <v>Not Allocated</v>
      </c>
    </row>
    <row r="345">
      <c r="A345" s="6" t="s">
        <v>720</v>
      </c>
      <c r="B345" s="6" t="s">
        <v>721</v>
      </c>
      <c r="C345" s="7" t="s">
        <v>28</v>
      </c>
      <c r="D345" s="6" t="s">
        <v>17</v>
      </c>
      <c r="E345" s="9">
        <v>80.6</v>
      </c>
      <c r="F345" s="6" t="s">
        <v>962</v>
      </c>
      <c r="G345" s="6">
        <f>IFERROR(__xludf.DUMMYFUNCTION("RANK(E345, FILTER($E$2:$E1000, $D$2:$D1000=D345), 0)"),47.0)</f>
        <v>47</v>
      </c>
      <c r="H345" s="9" t="str">
        <f>IF(G345&lt;=VLOOKUP(D345, Interview_Slots!$A$2:$B$5, 2, FALSE), "Allocated", "Not Allocated")</f>
        <v>Allocated</v>
      </c>
    </row>
    <row r="346">
      <c r="A346" s="6" t="s">
        <v>722</v>
      </c>
      <c r="B346" s="6" t="s">
        <v>723</v>
      </c>
      <c r="C346" s="7" t="s">
        <v>28</v>
      </c>
      <c r="D346" s="6" t="s">
        <v>25</v>
      </c>
      <c r="E346" s="9">
        <v>72.75</v>
      </c>
      <c r="F346" s="6" t="s">
        <v>963</v>
      </c>
      <c r="G346" s="6">
        <f>IFERROR(__xludf.DUMMYFUNCTION("RANK(E346, FILTER($E$2:$E1000, $D$2:$D1000=D346), 0)"),82.0)</f>
        <v>82</v>
      </c>
      <c r="H346" s="9" t="str">
        <f>IF(G346&lt;=VLOOKUP(D346, Interview_Slots!$A$2:$B$5, 2, FALSE), "Allocated", "Not Allocated")</f>
        <v>Not Allocated</v>
      </c>
    </row>
    <row r="347">
      <c r="A347" s="6" t="s">
        <v>724</v>
      </c>
      <c r="B347" s="6" t="s">
        <v>725</v>
      </c>
      <c r="C347" s="7" t="s">
        <v>41</v>
      </c>
      <c r="D347" s="6" t="s">
        <v>17</v>
      </c>
      <c r="E347" s="9">
        <v>82.85</v>
      </c>
      <c r="F347" s="6" t="s">
        <v>962</v>
      </c>
      <c r="G347" s="6">
        <f>IFERROR(__xludf.DUMMYFUNCTION("RANK(E347, FILTER($E$2:$E1000, $D$2:$D1000=D347), 0)"),35.0)</f>
        <v>35</v>
      </c>
      <c r="H347" s="9" t="str">
        <f>IF(G347&lt;=VLOOKUP(D347, Interview_Slots!$A$2:$B$5, 2, FALSE), "Allocated", "Not Allocated")</f>
        <v>Allocated</v>
      </c>
    </row>
    <row r="348">
      <c r="A348" s="6" t="s">
        <v>726</v>
      </c>
      <c r="B348" s="6" t="s">
        <v>727</v>
      </c>
      <c r="C348" s="7" t="s">
        <v>41</v>
      </c>
      <c r="D348" s="6" t="s">
        <v>32</v>
      </c>
      <c r="E348" s="9">
        <v>79.1</v>
      </c>
      <c r="F348" s="6" t="s">
        <v>962</v>
      </c>
      <c r="G348" s="6">
        <f>IFERROR(__xludf.DUMMYFUNCTION("RANK(E348, FILTER($E$2:$E1000, $D$2:$D1000=D348), 0)"),45.0)</f>
        <v>45</v>
      </c>
      <c r="H348" s="9" t="str">
        <f>IF(G348&lt;=VLOOKUP(D348, Interview_Slots!$A$2:$B$5, 2, FALSE), "Allocated", "Not Allocated")</f>
        <v>Allocated</v>
      </c>
    </row>
    <row r="349">
      <c r="A349" s="6" t="s">
        <v>728</v>
      </c>
      <c r="B349" s="6" t="s">
        <v>729</v>
      </c>
      <c r="C349" s="7" t="s">
        <v>41</v>
      </c>
      <c r="D349" s="6" t="s">
        <v>17</v>
      </c>
      <c r="E349" s="9">
        <v>80.3</v>
      </c>
      <c r="F349" s="6" t="s">
        <v>962</v>
      </c>
      <c r="G349" s="6">
        <f>IFERROR(__xludf.DUMMYFUNCTION("RANK(E349, FILTER($E$2:$E1000, $D$2:$D1000=D349), 0)"),50.0)</f>
        <v>50</v>
      </c>
      <c r="H349" s="9" t="str">
        <f>IF(G349&lt;=VLOOKUP(D349, Interview_Slots!$A$2:$B$5, 2, FALSE), "Allocated", "Not Allocated")</f>
        <v>Allocated</v>
      </c>
    </row>
    <row r="350">
      <c r="A350" s="6" t="s">
        <v>730</v>
      </c>
      <c r="B350" s="6" t="s">
        <v>731</v>
      </c>
      <c r="C350" s="7" t="s">
        <v>41</v>
      </c>
      <c r="D350" s="6" t="s">
        <v>21</v>
      </c>
      <c r="E350" s="9">
        <v>63.65</v>
      </c>
      <c r="F350" s="6" t="s">
        <v>963</v>
      </c>
      <c r="G350" s="6">
        <f>IFERROR(__xludf.DUMMYFUNCTION("RANK(E350, FILTER($E$2:$E1000, $D$2:$D1000=D350), 0)"),132.0)</f>
        <v>132</v>
      </c>
      <c r="H350" s="9" t="str">
        <f>IF(G350&lt;=VLOOKUP(D350, Interview_Slots!$A$2:$B$5, 2, FALSE), "Allocated", "Not Allocated")</f>
        <v>Not Allocated</v>
      </c>
    </row>
    <row r="351">
      <c r="A351" s="6" t="s">
        <v>732</v>
      </c>
      <c r="B351" s="6" t="s">
        <v>733</v>
      </c>
      <c r="C351" s="7" t="s">
        <v>53</v>
      </c>
      <c r="D351" s="6" t="s">
        <v>32</v>
      </c>
      <c r="E351" s="9">
        <v>70.19999999999999</v>
      </c>
      <c r="F351" s="6" t="s">
        <v>962</v>
      </c>
      <c r="G351" s="6">
        <f>IFERROR(__xludf.DUMMYFUNCTION("RANK(E351, FILTER($E$2:$E1000, $D$2:$D1000=D351), 0)"),87.0)</f>
        <v>87</v>
      </c>
      <c r="H351" s="9" t="str">
        <f>IF(G351&lt;=VLOOKUP(D351, Interview_Slots!$A$2:$B$5, 2, FALSE), "Allocated", "Not Allocated")</f>
        <v>Not Allocated</v>
      </c>
    </row>
    <row r="352">
      <c r="A352" s="6" t="s">
        <v>734</v>
      </c>
      <c r="B352" s="6" t="s">
        <v>735</v>
      </c>
      <c r="C352" s="7" t="s">
        <v>53</v>
      </c>
      <c r="D352" s="6" t="s">
        <v>32</v>
      </c>
      <c r="E352" s="9">
        <v>73.6</v>
      </c>
      <c r="F352" s="6" t="s">
        <v>962</v>
      </c>
      <c r="G352" s="6">
        <f>IFERROR(__xludf.DUMMYFUNCTION("RANK(E352, FILTER($E$2:$E1000, $D$2:$D1000=D352), 0)"),68.0)</f>
        <v>68</v>
      </c>
      <c r="H352" s="9" t="str">
        <f>IF(G352&lt;=VLOOKUP(D352, Interview_Slots!$A$2:$B$5, 2, FALSE), "Allocated", "Not Allocated")</f>
        <v>Not Allocated</v>
      </c>
    </row>
    <row r="353">
      <c r="A353" s="6" t="s">
        <v>736</v>
      </c>
      <c r="B353" s="6" t="s">
        <v>737</v>
      </c>
      <c r="C353" s="7" t="s">
        <v>53</v>
      </c>
      <c r="D353" s="6" t="s">
        <v>17</v>
      </c>
      <c r="E353" s="9">
        <v>83.0</v>
      </c>
      <c r="F353" s="6" t="s">
        <v>962</v>
      </c>
      <c r="G353" s="6">
        <f>IFERROR(__xludf.DUMMYFUNCTION("RANK(E353, FILTER($E$2:$E1000, $D$2:$D1000=D353), 0)"),33.0)</f>
        <v>33</v>
      </c>
      <c r="H353" s="9" t="str">
        <f>IF(G353&lt;=VLOOKUP(D353, Interview_Slots!$A$2:$B$5, 2, FALSE), "Allocated", "Not Allocated")</f>
        <v>Allocated</v>
      </c>
    </row>
    <row r="354">
      <c r="A354" s="6" t="s">
        <v>738</v>
      </c>
      <c r="B354" s="6" t="s">
        <v>739</v>
      </c>
      <c r="C354" s="7" t="s">
        <v>53</v>
      </c>
      <c r="D354" s="6" t="s">
        <v>21</v>
      </c>
      <c r="E354" s="9">
        <v>84.05</v>
      </c>
      <c r="F354" s="6" t="s">
        <v>962</v>
      </c>
      <c r="G354" s="6">
        <f>IFERROR(__xludf.DUMMYFUNCTION("RANK(E354, FILTER($E$2:$E1000, $D$2:$D1000=D354), 0)"),22.0)</f>
        <v>22</v>
      </c>
      <c r="H354" s="9" t="str">
        <f>IF(G354&lt;=VLOOKUP(D354, Interview_Slots!$A$2:$B$5, 2, FALSE), "Allocated", "Not Allocated")</f>
        <v>Allocated</v>
      </c>
    </row>
    <row r="355">
      <c r="A355" s="6" t="s">
        <v>740</v>
      </c>
      <c r="B355" s="6" t="s">
        <v>741</v>
      </c>
      <c r="C355" s="7" t="s">
        <v>65</v>
      </c>
      <c r="D355" s="6" t="s">
        <v>17</v>
      </c>
      <c r="E355" s="9">
        <v>85.65</v>
      </c>
      <c r="F355" s="6" t="s">
        <v>962</v>
      </c>
      <c r="G355" s="6">
        <f>IFERROR(__xludf.DUMMYFUNCTION("RANK(E355, FILTER($E$2:$E1000, $D$2:$D1000=D355), 0)"),22.0)</f>
        <v>22</v>
      </c>
      <c r="H355" s="9" t="str">
        <f>IF(G355&lt;=VLOOKUP(D355, Interview_Slots!$A$2:$B$5, 2, FALSE), "Allocated", "Not Allocated")</f>
        <v>Allocated</v>
      </c>
    </row>
    <row r="356">
      <c r="A356" s="6" t="s">
        <v>742</v>
      </c>
      <c r="B356" s="6" t="s">
        <v>743</v>
      </c>
      <c r="C356" s="7" t="s">
        <v>65</v>
      </c>
      <c r="D356" s="6" t="s">
        <v>21</v>
      </c>
      <c r="E356" s="9">
        <v>74.55</v>
      </c>
      <c r="F356" s="6" t="s">
        <v>962</v>
      </c>
      <c r="G356" s="6">
        <f>IFERROR(__xludf.DUMMYFUNCTION("RANK(E356, FILTER($E$2:$E1000, $D$2:$D1000=D356), 0)"),77.0)</f>
        <v>77</v>
      </c>
      <c r="H356" s="9" t="str">
        <f>IF(G356&lt;=VLOOKUP(D356, Interview_Slots!$A$2:$B$5, 2, FALSE), "Allocated", "Not Allocated")</f>
        <v>Not Allocated</v>
      </c>
    </row>
    <row r="357">
      <c r="A357" s="6" t="s">
        <v>744</v>
      </c>
      <c r="B357" s="6" t="s">
        <v>745</v>
      </c>
      <c r="C357" s="7" t="s">
        <v>65</v>
      </c>
      <c r="D357" s="6" t="s">
        <v>25</v>
      </c>
      <c r="E357" s="9">
        <v>81.45</v>
      </c>
      <c r="F357" s="6" t="s">
        <v>962</v>
      </c>
      <c r="G357" s="6">
        <f>IFERROR(__xludf.DUMMYFUNCTION("RANK(E357, FILTER($E$2:$E1000, $D$2:$D1000=D357), 0)"),39.0)</f>
        <v>39</v>
      </c>
      <c r="H357" s="9" t="str">
        <f>IF(G357&lt;=VLOOKUP(D357, Interview_Slots!$A$2:$B$5, 2, FALSE), "Allocated", "Not Allocated")</f>
        <v>Not Allocated</v>
      </c>
    </row>
    <row r="358">
      <c r="A358" s="6" t="s">
        <v>746</v>
      </c>
      <c r="B358" s="6" t="s">
        <v>747</v>
      </c>
      <c r="C358" s="7" t="s">
        <v>65</v>
      </c>
      <c r="D358" s="6" t="s">
        <v>25</v>
      </c>
      <c r="E358" s="9">
        <v>80.0</v>
      </c>
      <c r="F358" s="6" t="s">
        <v>962</v>
      </c>
      <c r="G358" s="6">
        <f>IFERROR(__xludf.DUMMYFUNCTION("RANK(E358, FILTER($E$2:$E1000, $D$2:$D1000=D358), 0)"),46.0)</f>
        <v>46</v>
      </c>
      <c r="H358" s="9" t="str">
        <f>IF(G358&lt;=VLOOKUP(D358, Interview_Slots!$A$2:$B$5, 2, FALSE), "Allocated", "Not Allocated")</f>
        <v>Not Allocated</v>
      </c>
    </row>
    <row r="359">
      <c r="A359" s="6" t="s">
        <v>748</v>
      </c>
      <c r="B359" s="6" t="s">
        <v>749</v>
      </c>
      <c r="C359" s="7" t="s">
        <v>28</v>
      </c>
      <c r="D359" s="6" t="s">
        <v>25</v>
      </c>
      <c r="E359" s="9">
        <v>63.349999999999994</v>
      </c>
      <c r="F359" s="6" t="s">
        <v>963</v>
      </c>
      <c r="G359" s="6">
        <f>IFERROR(__xludf.DUMMYFUNCTION("RANK(E359, FILTER($E$2:$E1000, $D$2:$D1000=D359), 0)"),109.0)</f>
        <v>109</v>
      </c>
      <c r="H359" s="9" t="str">
        <f>IF(G359&lt;=VLOOKUP(D359, Interview_Slots!$A$2:$B$5, 2, FALSE), "Allocated", "Not Allocated")</f>
        <v>Not Allocated</v>
      </c>
    </row>
    <row r="360">
      <c r="A360" s="6" t="s">
        <v>750</v>
      </c>
      <c r="B360" s="6" t="s">
        <v>751</v>
      </c>
      <c r="C360" s="7" t="s">
        <v>28</v>
      </c>
      <c r="D360" s="6" t="s">
        <v>17</v>
      </c>
      <c r="E360" s="9">
        <v>88.75</v>
      </c>
      <c r="F360" s="6" t="s">
        <v>962</v>
      </c>
      <c r="G360" s="6">
        <f>IFERROR(__xludf.DUMMYFUNCTION("RANK(E360, FILTER($E$2:$E1000, $D$2:$D1000=D360), 0)"),12.0)</f>
        <v>12</v>
      </c>
      <c r="H360" s="9" t="str">
        <f>IF(G360&lt;=VLOOKUP(D360, Interview_Slots!$A$2:$B$5, 2, FALSE), "Allocated", "Not Allocated")</f>
        <v>Allocated</v>
      </c>
    </row>
    <row r="361">
      <c r="A361" s="6" t="s">
        <v>752</v>
      </c>
      <c r="B361" s="6" t="s">
        <v>753</v>
      </c>
      <c r="C361" s="7" t="s">
        <v>28</v>
      </c>
      <c r="D361" s="6" t="s">
        <v>32</v>
      </c>
      <c r="E361" s="9">
        <v>72.0</v>
      </c>
      <c r="F361" s="6" t="s">
        <v>962</v>
      </c>
      <c r="G361" s="6">
        <f>IFERROR(__xludf.DUMMYFUNCTION("RANK(E361, FILTER($E$2:$E1000, $D$2:$D1000=D361), 0)"),79.0)</f>
        <v>79</v>
      </c>
      <c r="H361" s="9" t="str">
        <f>IF(G361&lt;=VLOOKUP(D361, Interview_Slots!$A$2:$B$5, 2, FALSE), "Allocated", "Not Allocated")</f>
        <v>Not Allocated</v>
      </c>
    </row>
    <row r="362">
      <c r="A362" s="6" t="s">
        <v>754</v>
      </c>
      <c r="B362" s="6" t="s">
        <v>755</v>
      </c>
      <c r="C362" s="7" t="s">
        <v>28</v>
      </c>
      <c r="D362" s="6" t="s">
        <v>17</v>
      </c>
      <c r="E362" s="9">
        <v>66.7</v>
      </c>
      <c r="F362" s="6" t="s">
        <v>962</v>
      </c>
      <c r="G362" s="6">
        <f>IFERROR(__xludf.DUMMYFUNCTION("RANK(E362, FILTER($E$2:$E1000, $D$2:$D1000=D362), 0)"),105.0)</f>
        <v>105</v>
      </c>
      <c r="H362" s="9" t="str">
        <f>IF(G362&lt;=VLOOKUP(D362, Interview_Slots!$A$2:$B$5, 2, FALSE), "Allocated", "Not Allocated")</f>
        <v>Not Allocated</v>
      </c>
    </row>
    <row r="363">
      <c r="A363" s="6" t="s">
        <v>756</v>
      </c>
      <c r="B363" s="6" t="s">
        <v>757</v>
      </c>
      <c r="C363" s="7" t="s">
        <v>41</v>
      </c>
      <c r="D363" s="6" t="s">
        <v>21</v>
      </c>
      <c r="E363" s="9">
        <v>72.25</v>
      </c>
      <c r="F363" s="6" t="s">
        <v>963</v>
      </c>
      <c r="G363" s="6">
        <f>IFERROR(__xludf.DUMMYFUNCTION("RANK(E363, FILTER($E$2:$E1000, $D$2:$D1000=D363), 0)"),92.0)</f>
        <v>92</v>
      </c>
      <c r="H363" s="9" t="str">
        <f>IF(G363&lt;=VLOOKUP(D363, Interview_Slots!$A$2:$B$5, 2, FALSE), "Allocated", "Not Allocated")</f>
        <v>Not Allocated</v>
      </c>
    </row>
    <row r="364">
      <c r="A364" s="6" t="s">
        <v>758</v>
      </c>
      <c r="B364" s="6" t="s">
        <v>759</v>
      </c>
      <c r="C364" s="7" t="s">
        <v>41</v>
      </c>
      <c r="D364" s="6" t="s">
        <v>32</v>
      </c>
      <c r="E364" s="9">
        <v>77.0</v>
      </c>
      <c r="F364" s="6" t="s">
        <v>962</v>
      </c>
      <c r="G364" s="6">
        <f>IFERROR(__xludf.DUMMYFUNCTION("RANK(E364, FILTER($E$2:$E1000, $D$2:$D1000=D364), 0)"),55.0)</f>
        <v>55</v>
      </c>
      <c r="H364" s="9" t="str">
        <f>IF(G364&lt;=VLOOKUP(D364, Interview_Slots!$A$2:$B$5, 2, FALSE), "Allocated", "Not Allocated")</f>
        <v>Allocated</v>
      </c>
    </row>
    <row r="365">
      <c r="A365" s="6" t="s">
        <v>760</v>
      </c>
      <c r="B365" s="6" t="s">
        <v>761</v>
      </c>
      <c r="C365" s="7" t="s">
        <v>41</v>
      </c>
      <c r="D365" s="6" t="s">
        <v>32</v>
      </c>
      <c r="E365" s="9">
        <v>76.3</v>
      </c>
      <c r="F365" s="6" t="s">
        <v>962</v>
      </c>
      <c r="G365" s="6">
        <f>IFERROR(__xludf.DUMMYFUNCTION("RANK(E365, FILTER($E$2:$E1000, $D$2:$D1000=D365), 0)"),56.0)</f>
        <v>56</v>
      </c>
      <c r="H365" s="9" t="str">
        <f>IF(G365&lt;=VLOOKUP(D365, Interview_Slots!$A$2:$B$5, 2, FALSE), "Allocated", "Not Allocated")</f>
        <v>Allocated</v>
      </c>
    </row>
    <row r="366">
      <c r="A366" s="6" t="s">
        <v>762</v>
      </c>
      <c r="B366" s="6" t="s">
        <v>763</v>
      </c>
      <c r="C366" s="7" t="s">
        <v>41</v>
      </c>
      <c r="D366" s="6" t="s">
        <v>17</v>
      </c>
      <c r="E366" s="9">
        <v>76.5</v>
      </c>
      <c r="F366" s="6" t="s">
        <v>962</v>
      </c>
      <c r="G366" s="6">
        <f>IFERROR(__xludf.DUMMYFUNCTION("RANK(E366, FILTER($E$2:$E1000, $D$2:$D1000=D366), 0)"),71.0)</f>
        <v>71</v>
      </c>
      <c r="H366" s="9" t="str">
        <f>IF(G366&lt;=VLOOKUP(D366, Interview_Slots!$A$2:$B$5, 2, FALSE), "Allocated", "Not Allocated")</f>
        <v>Allocated</v>
      </c>
    </row>
    <row r="367">
      <c r="A367" s="6" t="s">
        <v>764</v>
      </c>
      <c r="B367" s="6" t="s">
        <v>765</v>
      </c>
      <c r="C367" s="7" t="s">
        <v>53</v>
      </c>
      <c r="D367" s="6" t="s">
        <v>21</v>
      </c>
      <c r="E367" s="9">
        <v>73.9</v>
      </c>
      <c r="F367" s="6" t="s">
        <v>963</v>
      </c>
      <c r="G367" s="6">
        <f>IFERROR(__xludf.DUMMYFUNCTION("RANK(E367, FILTER($E$2:$E1000, $D$2:$D1000=D367), 0)"),81.0)</f>
        <v>81</v>
      </c>
      <c r="H367" s="9" t="str">
        <f>IF(G367&lt;=VLOOKUP(D367, Interview_Slots!$A$2:$B$5, 2, FALSE), "Allocated", "Not Allocated")</f>
        <v>Not Allocated</v>
      </c>
    </row>
    <row r="368">
      <c r="A368" s="6" t="s">
        <v>766</v>
      </c>
      <c r="B368" s="6" t="s">
        <v>767</v>
      </c>
      <c r="C368" s="7" t="s">
        <v>53</v>
      </c>
      <c r="D368" s="6" t="s">
        <v>32</v>
      </c>
      <c r="E368" s="9">
        <v>86.55</v>
      </c>
      <c r="F368" s="6" t="s">
        <v>962</v>
      </c>
      <c r="G368" s="6">
        <f>IFERROR(__xludf.DUMMYFUNCTION("RANK(E368, FILTER($E$2:$E1000, $D$2:$D1000=D368), 0)"),18.0)</f>
        <v>18</v>
      </c>
      <c r="H368" s="9" t="str">
        <f>IF(G368&lt;=VLOOKUP(D368, Interview_Slots!$A$2:$B$5, 2, FALSE), "Allocated", "Not Allocated")</f>
        <v>Allocated</v>
      </c>
    </row>
    <row r="369">
      <c r="A369" s="6" t="s">
        <v>768</v>
      </c>
      <c r="B369" s="6" t="s">
        <v>769</v>
      </c>
      <c r="C369" s="7" t="s">
        <v>53</v>
      </c>
      <c r="D369" s="6" t="s">
        <v>21</v>
      </c>
      <c r="E369" s="9">
        <v>88.4</v>
      </c>
      <c r="F369" s="6" t="s">
        <v>962</v>
      </c>
      <c r="G369" s="6">
        <f>IFERROR(__xludf.DUMMYFUNCTION("RANK(E369, FILTER($E$2:$E1000, $D$2:$D1000=D369), 0)"),12.0)</f>
        <v>12</v>
      </c>
      <c r="H369" s="9" t="str">
        <f>IF(G369&lt;=VLOOKUP(D369, Interview_Slots!$A$2:$B$5, 2, FALSE), "Allocated", "Not Allocated")</f>
        <v>Allocated</v>
      </c>
    </row>
    <row r="370">
      <c r="A370" s="6" t="s">
        <v>770</v>
      </c>
      <c r="B370" s="6" t="s">
        <v>771</v>
      </c>
      <c r="C370" s="7" t="s">
        <v>53</v>
      </c>
      <c r="D370" s="6" t="s">
        <v>25</v>
      </c>
      <c r="E370" s="9">
        <v>73.4</v>
      </c>
      <c r="F370" s="6" t="s">
        <v>963</v>
      </c>
      <c r="G370" s="6">
        <f>IFERROR(__xludf.DUMMYFUNCTION("RANK(E370, FILTER($E$2:$E1000, $D$2:$D1000=D370), 0)"),80.0)</f>
        <v>80</v>
      </c>
      <c r="H370" s="9" t="str">
        <f>IF(G370&lt;=VLOOKUP(D370, Interview_Slots!$A$2:$B$5, 2, FALSE), "Allocated", "Not Allocated")</f>
        <v>Not Allocated</v>
      </c>
    </row>
    <row r="371">
      <c r="A371" s="6" t="s">
        <v>772</v>
      </c>
      <c r="B371" s="6" t="s">
        <v>773</v>
      </c>
      <c r="C371" s="7" t="s">
        <v>65</v>
      </c>
      <c r="D371" s="6" t="s">
        <v>25</v>
      </c>
      <c r="E371" s="9">
        <v>74.3</v>
      </c>
      <c r="F371" s="6" t="s">
        <v>963</v>
      </c>
      <c r="G371" s="6">
        <f>IFERROR(__xludf.DUMMYFUNCTION("RANK(E371, FILTER($E$2:$E1000, $D$2:$D1000=D371), 0)"),77.0)</f>
        <v>77</v>
      </c>
      <c r="H371" s="9" t="str">
        <f>IF(G371&lt;=VLOOKUP(D371, Interview_Slots!$A$2:$B$5, 2, FALSE), "Allocated", "Not Allocated")</f>
        <v>Not Allocated</v>
      </c>
    </row>
    <row r="372">
      <c r="A372" s="6" t="s">
        <v>774</v>
      </c>
      <c r="B372" s="6" t="s">
        <v>775</v>
      </c>
      <c r="C372" s="7" t="s">
        <v>65</v>
      </c>
      <c r="D372" s="6" t="s">
        <v>25</v>
      </c>
      <c r="E372" s="9">
        <v>77.1</v>
      </c>
      <c r="F372" s="6" t="s">
        <v>962</v>
      </c>
      <c r="G372" s="6">
        <f>IFERROR(__xludf.DUMMYFUNCTION("RANK(E372, FILTER($E$2:$E1000, $D$2:$D1000=D372), 0)"),60.0)</f>
        <v>60</v>
      </c>
      <c r="H372" s="9" t="str">
        <f>IF(G372&lt;=VLOOKUP(D372, Interview_Slots!$A$2:$B$5, 2, FALSE), "Allocated", "Not Allocated")</f>
        <v>Not Allocated</v>
      </c>
    </row>
    <row r="373">
      <c r="A373" s="6" t="s">
        <v>776</v>
      </c>
      <c r="B373" s="6" t="s">
        <v>777</v>
      </c>
      <c r="C373" s="7" t="s">
        <v>65</v>
      </c>
      <c r="D373" s="6" t="s">
        <v>25</v>
      </c>
      <c r="E373" s="9">
        <v>85.55</v>
      </c>
      <c r="F373" s="6" t="s">
        <v>962</v>
      </c>
      <c r="G373" s="6">
        <f>IFERROR(__xludf.DUMMYFUNCTION("RANK(E373, FILTER($E$2:$E1000, $D$2:$D1000=D373), 0)"),22.0)</f>
        <v>22</v>
      </c>
      <c r="H373" s="9" t="str">
        <f>IF(G373&lt;=VLOOKUP(D373, Interview_Slots!$A$2:$B$5, 2, FALSE), "Allocated", "Not Allocated")</f>
        <v>Allocated</v>
      </c>
    </row>
    <row r="374">
      <c r="A374" s="6" t="s">
        <v>778</v>
      </c>
      <c r="B374" s="6" t="s">
        <v>779</v>
      </c>
      <c r="C374" s="7" t="s">
        <v>28</v>
      </c>
      <c r="D374" s="6" t="s">
        <v>32</v>
      </c>
      <c r="E374" s="9">
        <v>86.69999999999999</v>
      </c>
      <c r="F374" s="6" t="s">
        <v>962</v>
      </c>
      <c r="G374" s="6">
        <f>IFERROR(__xludf.DUMMYFUNCTION("RANK(E374, FILTER($E$2:$E1000, $D$2:$D1000=D374), 0)"),17.0)</f>
        <v>17</v>
      </c>
      <c r="H374" s="9" t="str">
        <f>IF(G374&lt;=VLOOKUP(D374, Interview_Slots!$A$2:$B$5, 2, FALSE), "Allocated", "Not Allocated")</f>
        <v>Allocated</v>
      </c>
    </row>
    <row r="375">
      <c r="A375" s="6" t="s">
        <v>780</v>
      </c>
      <c r="B375" s="6" t="s">
        <v>781</v>
      </c>
      <c r="C375" s="7" t="s">
        <v>28</v>
      </c>
      <c r="D375" s="6" t="s">
        <v>17</v>
      </c>
      <c r="E375" s="9">
        <v>87.19999999999999</v>
      </c>
      <c r="F375" s="6" t="s">
        <v>962</v>
      </c>
      <c r="G375" s="6">
        <f>IFERROR(__xludf.DUMMYFUNCTION("RANK(E375, FILTER($E$2:$E1000, $D$2:$D1000=D375), 0)"),16.0)</f>
        <v>16</v>
      </c>
      <c r="H375" s="9" t="str">
        <f>IF(G375&lt;=VLOOKUP(D375, Interview_Slots!$A$2:$B$5, 2, FALSE), "Allocated", "Not Allocated")</f>
        <v>Allocated</v>
      </c>
    </row>
    <row r="376">
      <c r="A376" s="6" t="s">
        <v>782</v>
      </c>
      <c r="B376" s="6" t="s">
        <v>783</v>
      </c>
      <c r="C376" s="7" t="s">
        <v>28</v>
      </c>
      <c r="D376" s="6" t="s">
        <v>21</v>
      </c>
      <c r="E376" s="9">
        <v>75.9</v>
      </c>
      <c r="F376" s="6" t="s">
        <v>962</v>
      </c>
      <c r="G376" s="6">
        <f>IFERROR(__xludf.DUMMYFUNCTION("RANK(E376, FILTER($E$2:$E1000, $D$2:$D1000=D376), 0)"),69.0)</f>
        <v>69</v>
      </c>
      <c r="H376" s="9" t="str">
        <f>IF(G376&lt;=VLOOKUP(D376, Interview_Slots!$A$2:$B$5, 2, FALSE), "Allocated", "Not Allocated")</f>
        <v>Not Allocated</v>
      </c>
    </row>
    <row r="377">
      <c r="A377" s="6" t="s">
        <v>784</v>
      </c>
      <c r="B377" s="6" t="s">
        <v>785</v>
      </c>
      <c r="C377" s="7" t="s">
        <v>28</v>
      </c>
      <c r="D377" s="6" t="s">
        <v>32</v>
      </c>
      <c r="E377" s="9">
        <v>85.69999999999999</v>
      </c>
      <c r="F377" s="6" t="s">
        <v>962</v>
      </c>
      <c r="G377" s="6">
        <f>IFERROR(__xludf.DUMMYFUNCTION("RANK(E377, FILTER($E$2:$E1000, $D$2:$D1000=D377), 0)"),22.0)</f>
        <v>22</v>
      </c>
      <c r="H377" s="9" t="str">
        <f>IF(G377&lt;=VLOOKUP(D377, Interview_Slots!$A$2:$B$5, 2, FALSE), "Allocated", "Not Allocated")</f>
        <v>Allocated</v>
      </c>
    </row>
    <row r="378">
      <c r="A378" s="6" t="s">
        <v>786</v>
      </c>
      <c r="B378" s="6" t="s">
        <v>787</v>
      </c>
      <c r="C378" s="7" t="s">
        <v>41</v>
      </c>
      <c r="D378" s="6" t="s">
        <v>32</v>
      </c>
      <c r="E378" s="9">
        <v>73.0</v>
      </c>
      <c r="F378" s="6" t="s">
        <v>962</v>
      </c>
      <c r="G378" s="6">
        <f>IFERROR(__xludf.DUMMYFUNCTION("RANK(E378, FILTER($E$2:$E1000, $D$2:$D1000=D378), 0)"),70.0)</f>
        <v>70</v>
      </c>
      <c r="H378" s="9" t="str">
        <f>IF(G378&lt;=VLOOKUP(D378, Interview_Slots!$A$2:$B$5, 2, FALSE), "Allocated", "Not Allocated")</f>
        <v>Not Allocated</v>
      </c>
    </row>
    <row r="379">
      <c r="A379" s="6" t="s">
        <v>788</v>
      </c>
      <c r="B379" s="6" t="s">
        <v>789</v>
      </c>
      <c r="C379" s="7" t="s">
        <v>41</v>
      </c>
      <c r="D379" s="6" t="s">
        <v>17</v>
      </c>
      <c r="E379" s="9">
        <v>86.6</v>
      </c>
      <c r="F379" s="6" t="s">
        <v>962</v>
      </c>
      <c r="G379" s="6">
        <f>IFERROR(__xludf.DUMMYFUNCTION("RANK(E379, FILTER($E$2:$E1000, $D$2:$D1000=D379), 0)"),19.0)</f>
        <v>19</v>
      </c>
      <c r="H379" s="9" t="str">
        <f>IF(G379&lt;=VLOOKUP(D379, Interview_Slots!$A$2:$B$5, 2, FALSE), "Allocated", "Not Allocated")</f>
        <v>Allocated</v>
      </c>
    </row>
    <row r="380">
      <c r="A380" s="6" t="s">
        <v>790</v>
      </c>
      <c r="B380" s="6" t="s">
        <v>791</v>
      </c>
      <c r="C380" s="7" t="s">
        <v>41</v>
      </c>
      <c r="D380" s="6" t="s">
        <v>21</v>
      </c>
      <c r="E380" s="9">
        <v>71.65</v>
      </c>
      <c r="F380" s="6" t="s">
        <v>963</v>
      </c>
      <c r="G380" s="6">
        <f>IFERROR(__xludf.DUMMYFUNCTION("RANK(E380, FILTER($E$2:$E1000, $D$2:$D1000=D380), 0)"),95.0)</f>
        <v>95</v>
      </c>
      <c r="H380" s="9" t="str">
        <f>IF(G380&lt;=VLOOKUP(D380, Interview_Slots!$A$2:$B$5, 2, FALSE), "Allocated", "Not Allocated")</f>
        <v>Not Allocated</v>
      </c>
    </row>
    <row r="381">
      <c r="A381" s="6" t="s">
        <v>792</v>
      </c>
      <c r="B381" s="6" t="s">
        <v>793</v>
      </c>
      <c r="C381" s="7" t="s">
        <v>41</v>
      </c>
      <c r="D381" s="6" t="s">
        <v>21</v>
      </c>
      <c r="E381" s="9">
        <v>65.35</v>
      </c>
      <c r="F381" s="6" t="s">
        <v>963</v>
      </c>
      <c r="G381" s="6">
        <f>IFERROR(__xludf.DUMMYFUNCTION("RANK(E381, FILTER($E$2:$E1000, $D$2:$D1000=D381), 0)"),125.0)</f>
        <v>125</v>
      </c>
      <c r="H381" s="9" t="str">
        <f>IF(G381&lt;=VLOOKUP(D381, Interview_Slots!$A$2:$B$5, 2, FALSE), "Allocated", "Not Allocated")</f>
        <v>Not Allocated</v>
      </c>
    </row>
    <row r="382">
      <c r="A382" s="6" t="s">
        <v>794</v>
      </c>
      <c r="B382" s="6" t="s">
        <v>795</v>
      </c>
      <c r="C382" s="7" t="s">
        <v>53</v>
      </c>
      <c r="D382" s="6" t="s">
        <v>17</v>
      </c>
      <c r="E382" s="9">
        <v>91.55</v>
      </c>
      <c r="F382" s="6" t="s">
        <v>962</v>
      </c>
      <c r="G382" s="6">
        <f>IFERROR(__xludf.DUMMYFUNCTION("RANK(E382, FILTER($E$2:$E1000, $D$2:$D1000=D382), 0)"),6.0)</f>
        <v>6</v>
      </c>
      <c r="H382" s="9" t="str">
        <f>IF(G382&lt;=VLOOKUP(D382, Interview_Slots!$A$2:$B$5, 2, FALSE), "Allocated", "Not Allocated")</f>
        <v>Allocated</v>
      </c>
    </row>
    <row r="383">
      <c r="A383" s="6" t="s">
        <v>796</v>
      </c>
      <c r="B383" s="6" t="s">
        <v>797</v>
      </c>
      <c r="C383" s="7" t="s">
        <v>53</v>
      </c>
      <c r="D383" s="6" t="s">
        <v>25</v>
      </c>
      <c r="E383" s="9">
        <v>83.5</v>
      </c>
      <c r="F383" s="6" t="s">
        <v>962</v>
      </c>
      <c r="G383" s="6">
        <f>IFERROR(__xludf.DUMMYFUNCTION("RANK(E383, FILTER($E$2:$E1000, $D$2:$D1000=D383), 0)"),29.0)</f>
        <v>29</v>
      </c>
      <c r="H383" s="9" t="str">
        <f>IF(G383&lt;=VLOOKUP(D383, Interview_Slots!$A$2:$B$5, 2, FALSE), "Allocated", "Not Allocated")</f>
        <v>Allocated</v>
      </c>
    </row>
    <row r="384">
      <c r="A384" s="6" t="s">
        <v>798</v>
      </c>
      <c r="B384" s="6" t="s">
        <v>799</v>
      </c>
      <c r="C384" s="7" t="s">
        <v>53</v>
      </c>
      <c r="D384" s="6" t="s">
        <v>25</v>
      </c>
      <c r="E384" s="9">
        <v>71.6</v>
      </c>
      <c r="F384" s="6" t="s">
        <v>963</v>
      </c>
      <c r="G384" s="6">
        <f>IFERROR(__xludf.DUMMYFUNCTION("RANK(E384, FILTER($E$2:$E1000, $D$2:$D1000=D384), 0)"),87.0)</f>
        <v>87</v>
      </c>
      <c r="H384" s="9" t="str">
        <f>IF(G384&lt;=VLOOKUP(D384, Interview_Slots!$A$2:$B$5, 2, FALSE), "Allocated", "Not Allocated")</f>
        <v>Not Allocated</v>
      </c>
    </row>
    <row r="385">
      <c r="A385" s="6" t="s">
        <v>800</v>
      </c>
      <c r="B385" s="6" t="s">
        <v>801</v>
      </c>
      <c r="C385" s="7" t="s">
        <v>53</v>
      </c>
      <c r="D385" s="6" t="s">
        <v>25</v>
      </c>
      <c r="E385" s="9">
        <v>72.0</v>
      </c>
      <c r="F385" s="6" t="s">
        <v>963</v>
      </c>
      <c r="G385" s="6">
        <f>IFERROR(__xludf.DUMMYFUNCTION("RANK(E385, FILTER($E$2:$E1000, $D$2:$D1000=D385), 0)"),86.0)</f>
        <v>86</v>
      </c>
      <c r="H385" s="9" t="str">
        <f>IF(G385&lt;=VLOOKUP(D385, Interview_Slots!$A$2:$B$5, 2, FALSE), "Allocated", "Not Allocated")</f>
        <v>Not Allocated</v>
      </c>
    </row>
    <row r="386">
      <c r="A386" s="6" t="s">
        <v>802</v>
      </c>
      <c r="B386" s="6" t="s">
        <v>803</v>
      </c>
      <c r="C386" s="7" t="s">
        <v>65</v>
      </c>
      <c r="D386" s="6" t="s">
        <v>17</v>
      </c>
      <c r="E386" s="9">
        <v>78.19999999999999</v>
      </c>
      <c r="F386" s="6" t="s">
        <v>962</v>
      </c>
      <c r="G386" s="6">
        <f>IFERROR(__xludf.DUMMYFUNCTION("RANK(E386, FILTER($E$2:$E1000, $D$2:$D1000=D386), 0)"),58.0)</f>
        <v>58</v>
      </c>
      <c r="H386" s="9" t="str">
        <f>IF(G386&lt;=VLOOKUP(D386, Interview_Slots!$A$2:$B$5, 2, FALSE), "Allocated", "Not Allocated")</f>
        <v>Allocated</v>
      </c>
    </row>
    <row r="387">
      <c r="A387" s="6" t="s">
        <v>804</v>
      </c>
      <c r="B387" s="6" t="s">
        <v>805</v>
      </c>
      <c r="C387" s="7" t="s">
        <v>65</v>
      </c>
      <c r="D387" s="6" t="s">
        <v>32</v>
      </c>
      <c r="E387" s="9">
        <v>74.05</v>
      </c>
      <c r="F387" s="6" t="s">
        <v>962</v>
      </c>
      <c r="G387" s="6">
        <f>IFERROR(__xludf.DUMMYFUNCTION("RANK(E387, FILTER($E$2:$E1000, $D$2:$D1000=D387), 0)"),66.0)</f>
        <v>66</v>
      </c>
      <c r="H387" s="9" t="str">
        <f>IF(G387&lt;=VLOOKUP(D387, Interview_Slots!$A$2:$B$5, 2, FALSE), "Allocated", "Not Allocated")</f>
        <v>Not Allocated</v>
      </c>
    </row>
    <row r="388">
      <c r="A388" s="6" t="s">
        <v>806</v>
      </c>
      <c r="B388" s="6" t="s">
        <v>807</v>
      </c>
      <c r="C388" s="7" t="s">
        <v>65</v>
      </c>
      <c r="D388" s="6" t="s">
        <v>17</v>
      </c>
      <c r="E388" s="9">
        <v>80.25</v>
      </c>
      <c r="F388" s="6" t="s">
        <v>962</v>
      </c>
      <c r="G388" s="6">
        <f>IFERROR(__xludf.DUMMYFUNCTION("RANK(E388, FILTER($E$2:$E1000, $D$2:$D1000=D388), 0)"),51.0)</f>
        <v>51</v>
      </c>
      <c r="H388" s="9" t="str">
        <f>IF(G388&lt;=VLOOKUP(D388, Interview_Slots!$A$2:$B$5, 2, FALSE), "Allocated", "Not Allocated")</f>
        <v>Allocated</v>
      </c>
    </row>
    <row r="389">
      <c r="A389" s="6" t="s">
        <v>808</v>
      </c>
      <c r="B389" s="6" t="s">
        <v>809</v>
      </c>
      <c r="C389" s="7" t="s">
        <v>65</v>
      </c>
      <c r="D389" s="6" t="s">
        <v>21</v>
      </c>
      <c r="E389" s="9">
        <v>67.8</v>
      </c>
      <c r="F389" s="6" t="s">
        <v>963</v>
      </c>
      <c r="G389" s="6">
        <f>IFERROR(__xludf.DUMMYFUNCTION("RANK(E389, FILTER($E$2:$E1000, $D$2:$D1000=D389), 0)"),114.0)</f>
        <v>114</v>
      </c>
      <c r="H389" s="9" t="str">
        <f>IF(G389&lt;=VLOOKUP(D389, Interview_Slots!$A$2:$B$5, 2, FALSE), "Allocated", "Not Allocated")</f>
        <v>Not Allocated</v>
      </c>
    </row>
    <row r="390">
      <c r="A390" s="6" t="s">
        <v>810</v>
      </c>
      <c r="B390" s="6" t="s">
        <v>811</v>
      </c>
      <c r="C390" s="7" t="s">
        <v>28</v>
      </c>
      <c r="D390" s="6" t="s">
        <v>32</v>
      </c>
      <c r="E390" s="9">
        <v>72.9</v>
      </c>
      <c r="F390" s="6" t="s">
        <v>962</v>
      </c>
      <c r="G390" s="6">
        <f>IFERROR(__xludf.DUMMYFUNCTION("RANK(E390, FILTER($E$2:$E1000, $D$2:$D1000=D390), 0)"),71.0)</f>
        <v>71</v>
      </c>
      <c r="H390" s="9" t="str">
        <f>IF(G390&lt;=VLOOKUP(D390, Interview_Slots!$A$2:$B$5, 2, FALSE), "Allocated", "Not Allocated")</f>
        <v>Not Allocated</v>
      </c>
    </row>
    <row r="391">
      <c r="A391" s="6" t="s">
        <v>812</v>
      </c>
      <c r="B391" s="6" t="s">
        <v>813</v>
      </c>
      <c r="C391" s="7" t="s">
        <v>28</v>
      </c>
      <c r="D391" s="6" t="s">
        <v>32</v>
      </c>
      <c r="E391" s="9">
        <v>69.7</v>
      </c>
      <c r="F391" s="6" t="s">
        <v>962</v>
      </c>
      <c r="G391" s="6">
        <f>IFERROR(__xludf.DUMMYFUNCTION("RANK(E391, FILTER($E$2:$E1000, $D$2:$D1000=D391), 0)"),89.0)</f>
        <v>89</v>
      </c>
      <c r="H391" s="9" t="str">
        <f>IF(G391&lt;=VLOOKUP(D391, Interview_Slots!$A$2:$B$5, 2, FALSE), "Allocated", "Not Allocated")</f>
        <v>Not Allocated</v>
      </c>
    </row>
    <row r="392">
      <c r="A392" s="6" t="s">
        <v>814</v>
      </c>
      <c r="B392" s="6" t="s">
        <v>815</v>
      </c>
      <c r="C392" s="7" t="s">
        <v>28</v>
      </c>
      <c r="D392" s="6" t="s">
        <v>17</v>
      </c>
      <c r="E392" s="9">
        <v>70.1</v>
      </c>
      <c r="F392" s="6" t="s">
        <v>962</v>
      </c>
      <c r="G392" s="6">
        <f>IFERROR(__xludf.DUMMYFUNCTION("RANK(E392, FILTER($E$2:$E1000, $D$2:$D1000=D392), 0)"),94.0)</f>
        <v>94</v>
      </c>
      <c r="H392" s="9" t="str">
        <f>IF(G392&lt;=VLOOKUP(D392, Interview_Slots!$A$2:$B$5, 2, FALSE), "Allocated", "Not Allocated")</f>
        <v>Not Allocated</v>
      </c>
    </row>
    <row r="393">
      <c r="A393" s="6" t="s">
        <v>816</v>
      </c>
      <c r="B393" s="6" t="s">
        <v>817</v>
      </c>
      <c r="C393" s="7" t="s">
        <v>28</v>
      </c>
      <c r="D393" s="6" t="s">
        <v>21</v>
      </c>
      <c r="E393" s="9">
        <v>65.9</v>
      </c>
      <c r="F393" s="6" t="s">
        <v>963</v>
      </c>
      <c r="G393" s="6">
        <f>IFERROR(__xludf.DUMMYFUNCTION("RANK(E393, FILTER($E$2:$E1000, $D$2:$D1000=D393), 0)"),123.0)</f>
        <v>123</v>
      </c>
      <c r="H393" s="9" t="str">
        <f>IF(G393&lt;=VLOOKUP(D393, Interview_Slots!$A$2:$B$5, 2, FALSE), "Allocated", "Not Allocated")</f>
        <v>Not Allocated</v>
      </c>
    </row>
    <row r="394">
      <c r="A394" s="6" t="s">
        <v>818</v>
      </c>
      <c r="B394" s="6" t="s">
        <v>819</v>
      </c>
      <c r="C394" s="7" t="s">
        <v>41</v>
      </c>
      <c r="D394" s="6" t="s">
        <v>21</v>
      </c>
      <c r="E394" s="9">
        <v>71.4</v>
      </c>
      <c r="F394" s="6" t="s">
        <v>962</v>
      </c>
      <c r="G394" s="6">
        <f>IFERROR(__xludf.DUMMYFUNCTION("RANK(E394, FILTER($E$2:$E1000, $D$2:$D1000=D394), 0)"),96.0)</f>
        <v>96</v>
      </c>
      <c r="H394" s="9" t="str">
        <f>IF(G394&lt;=VLOOKUP(D394, Interview_Slots!$A$2:$B$5, 2, FALSE), "Allocated", "Not Allocated")</f>
        <v>Not Allocated</v>
      </c>
    </row>
    <row r="395">
      <c r="A395" s="6" t="s">
        <v>820</v>
      </c>
      <c r="B395" s="6" t="s">
        <v>821</v>
      </c>
      <c r="C395" s="7" t="s">
        <v>41</v>
      </c>
      <c r="D395" s="6" t="s">
        <v>21</v>
      </c>
      <c r="E395" s="9">
        <v>91.0</v>
      </c>
      <c r="F395" s="6" t="s">
        <v>962</v>
      </c>
      <c r="G395" s="6">
        <f>IFERROR(__xludf.DUMMYFUNCTION("RANK(E395, FILTER($E$2:$E1000, $D$2:$D1000=D395), 0)"),5.0)</f>
        <v>5</v>
      </c>
      <c r="H395" s="9" t="str">
        <f>IF(G395&lt;=VLOOKUP(D395, Interview_Slots!$A$2:$B$5, 2, FALSE), "Allocated", "Not Allocated")</f>
        <v>Allocated</v>
      </c>
    </row>
    <row r="396">
      <c r="A396" s="6" t="s">
        <v>822</v>
      </c>
      <c r="B396" s="6" t="s">
        <v>823</v>
      </c>
      <c r="C396" s="7" t="s">
        <v>41</v>
      </c>
      <c r="D396" s="6" t="s">
        <v>25</v>
      </c>
      <c r="E396" s="9">
        <v>79.5</v>
      </c>
      <c r="F396" s="6" t="s">
        <v>962</v>
      </c>
      <c r="G396" s="6">
        <f>IFERROR(__xludf.DUMMYFUNCTION("RANK(E396, FILTER($E$2:$E1000, $D$2:$D1000=D396), 0)"),47.0)</f>
        <v>47</v>
      </c>
      <c r="H396" s="9" t="str">
        <f>IF(G396&lt;=VLOOKUP(D396, Interview_Slots!$A$2:$B$5, 2, FALSE), "Allocated", "Not Allocated")</f>
        <v>Not Allocated</v>
      </c>
    </row>
    <row r="397">
      <c r="A397" s="6" t="s">
        <v>824</v>
      </c>
      <c r="B397" s="6" t="s">
        <v>825</v>
      </c>
      <c r="C397" s="7" t="s">
        <v>41</v>
      </c>
      <c r="D397" s="6" t="s">
        <v>25</v>
      </c>
      <c r="E397" s="9">
        <v>78.65</v>
      </c>
      <c r="F397" s="6" t="s">
        <v>962</v>
      </c>
      <c r="G397" s="6">
        <f>IFERROR(__xludf.DUMMYFUNCTION("RANK(E397, FILTER($E$2:$E1000, $D$2:$D1000=D397), 0)"),53.0)</f>
        <v>53</v>
      </c>
      <c r="H397" s="9" t="str">
        <f>IF(G397&lt;=VLOOKUP(D397, Interview_Slots!$A$2:$B$5, 2, FALSE), "Allocated", "Not Allocated")</f>
        <v>Not Allocated</v>
      </c>
    </row>
    <row r="398">
      <c r="A398" s="6" t="s">
        <v>826</v>
      </c>
      <c r="B398" s="6" t="s">
        <v>827</v>
      </c>
      <c r="C398" s="7" t="s">
        <v>53</v>
      </c>
      <c r="D398" s="6" t="s">
        <v>25</v>
      </c>
      <c r="E398" s="9">
        <v>68.9</v>
      </c>
      <c r="F398" s="6" t="s">
        <v>963</v>
      </c>
      <c r="G398" s="6">
        <f>IFERROR(__xludf.DUMMYFUNCTION("RANK(E398, FILTER($E$2:$E1000, $D$2:$D1000=D398), 0)"),101.0)</f>
        <v>101</v>
      </c>
      <c r="H398" s="9" t="str">
        <f>IF(G398&lt;=VLOOKUP(D398, Interview_Slots!$A$2:$B$5, 2, FALSE), "Allocated", "Not Allocated")</f>
        <v>Not Allocated</v>
      </c>
    </row>
    <row r="399">
      <c r="A399" s="6" t="s">
        <v>828</v>
      </c>
      <c r="B399" s="6" t="s">
        <v>829</v>
      </c>
      <c r="C399" s="7" t="s">
        <v>53</v>
      </c>
      <c r="D399" s="6" t="s">
        <v>17</v>
      </c>
      <c r="E399" s="9">
        <v>86.8</v>
      </c>
      <c r="F399" s="6" t="s">
        <v>962</v>
      </c>
      <c r="G399" s="6">
        <f>IFERROR(__xludf.DUMMYFUNCTION("RANK(E399, FILTER($E$2:$E1000, $D$2:$D1000=D399), 0)"),17.0)</f>
        <v>17</v>
      </c>
      <c r="H399" s="9" t="str">
        <f>IF(G399&lt;=VLOOKUP(D399, Interview_Slots!$A$2:$B$5, 2, FALSE), "Allocated", "Not Allocated")</f>
        <v>Allocated</v>
      </c>
    </row>
    <row r="400">
      <c r="A400" s="6" t="s">
        <v>830</v>
      </c>
      <c r="B400" s="6" t="s">
        <v>831</v>
      </c>
      <c r="C400" s="7" t="s">
        <v>53</v>
      </c>
      <c r="D400" s="6" t="s">
        <v>32</v>
      </c>
      <c r="E400" s="9">
        <v>73.55</v>
      </c>
      <c r="F400" s="6" t="s">
        <v>962</v>
      </c>
      <c r="G400" s="6">
        <f>IFERROR(__xludf.DUMMYFUNCTION("RANK(E400, FILTER($E$2:$E1000, $D$2:$D1000=D400), 0)"),69.0)</f>
        <v>69</v>
      </c>
      <c r="H400" s="9" t="str">
        <f>IF(G400&lt;=VLOOKUP(D400, Interview_Slots!$A$2:$B$5, 2, FALSE), "Allocated", "Not Allocated")</f>
        <v>Not Allocated</v>
      </c>
    </row>
    <row r="401">
      <c r="A401" s="6" t="s">
        <v>832</v>
      </c>
      <c r="B401" s="6" t="s">
        <v>833</v>
      </c>
      <c r="C401" s="7" t="s">
        <v>53</v>
      </c>
      <c r="D401" s="6" t="s">
        <v>17</v>
      </c>
      <c r="E401" s="9">
        <v>76.95</v>
      </c>
      <c r="F401" s="6" t="s">
        <v>962</v>
      </c>
      <c r="G401" s="6">
        <f>IFERROR(__xludf.DUMMYFUNCTION("RANK(E401, FILTER($E$2:$E1000, $D$2:$D1000=D401), 0)"),68.0)</f>
        <v>68</v>
      </c>
      <c r="H401" s="9" t="str">
        <f>IF(G401&lt;=VLOOKUP(D401, Interview_Slots!$A$2:$B$5, 2, FALSE), "Allocated", "Not Allocated")</f>
        <v>Allocated</v>
      </c>
    </row>
    <row r="402">
      <c r="A402" s="6" t="s">
        <v>834</v>
      </c>
      <c r="B402" s="6" t="s">
        <v>835</v>
      </c>
      <c r="C402" s="7" t="s">
        <v>65</v>
      </c>
      <c r="D402" s="6" t="s">
        <v>21</v>
      </c>
      <c r="E402" s="9">
        <v>64.55</v>
      </c>
      <c r="F402" s="6" t="s">
        <v>963</v>
      </c>
      <c r="G402" s="6">
        <f>IFERROR(__xludf.DUMMYFUNCTION("RANK(E402, FILTER($E$2:$E1000, $D$2:$D1000=D402), 0)"),128.0)</f>
        <v>128</v>
      </c>
      <c r="H402" s="9" t="str">
        <f>IF(G402&lt;=VLOOKUP(D402, Interview_Slots!$A$2:$B$5, 2, FALSE), "Allocated", "Not Allocated")</f>
        <v>Not Allocated</v>
      </c>
    </row>
    <row r="403">
      <c r="A403" s="6" t="s">
        <v>836</v>
      </c>
      <c r="B403" s="6" t="s">
        <v>837</v>
      </c>
      <c r="C403" s="7" t="s">
        <v>65</v>
      </c>
      <c r="D403" s="6" t="s">
        <v>32</v>
      </c>
      <c r="E403" s="9">
        <v>75.55</v>
      </c>
      <c r="F403" s="6" t="s">
        <v>962</v>
      </c>
      <c r="G403" s="6">
        <f>IFERROR(__xludf.DUMMYFUNCTION("RANK(E403, FILTER($E$2:$E1000, $D$2:$D1000=D403), 0)"),59.0)</f>
        <v>59</v>
      </c>
      <c r="H403" s="9" t="str">
        <f>IF(G403&lt;=VLOOKUP(D403, Interview_Slots!$A$2:$B$5, 2, FALSE), "Allocated", "Not Allocated")</f>
        <v>Allocated</v>
      </c>
    </row>
    <row r="404">
      <c r="A404" s="6" t="s">
        <v>838</v>
      </c>
      <c r="B404" s="6" t="s">
        <v>839</v>
      </c>
      <c r="C404" s="7" t="s">
        <v>65</v>
      </c>
      <c r="D404" s="6" t="s">
        <v>25</v>
      </c>
      <c r="E404" s="9">
        <v>91.35</v>
      </c>
      <c r="F404" s="6" t="s">
        <v>962</v>
      </c>
      <c r="G404" s="6">
        <f>IFERROR(__xludf.DUMMYFUNCTION("RANK(E404, FILTER($E$2:$E1000, $D$2:$D1000=D404), 0)"),5.0)</f>
        <v>5</v>
      </c>
      <c r="H404" s="9" t="str">
        <f>IF(G404&lt;=VLOOKUP(D404, Interview_Slots!$A$2:$B$5, 2, FALSE), "Allocated", "Not Allocated")</f>
        <v>Allocated</v>
      </c>
    </row>
    <row r="405">
      <c r="A405" s="6" t="s">
        <v>840</v>
      </c>
      <c r="B405" s="6" t="s">
        <v>841</v>
      </c>
      <c r="C405" s="7" t="s">
        <v>28</v>
      </c>
      <c r="D405" s="6" t="s">
        <v>17</v>
      </c>
      <c r="E405" s="9">
        <v>70.9</v>
      </c>
      <c r="F405" s="6" t="s">
        <v>962</v>
      </c>
      <c r="G405" s="6">
        <f>IFERROR(__xludf.DUMMYFUNCTION("RANK(E405, FILTER($E$2:$E1000, $D$2:$D1000=D405), 0)"),92.0)</f>
        <v>92</v>
      </c>
      <c r="H405" s="9" t="str">
        <f>IF(G405&lt;=VLOOKUP(D405, Interview_Slots!$A$2:$B$5, 2, FALSE), "Allocated", "Not Allocated")</f>
        <v>Not Allocated</v>
      </c>
    </row>
    <row r="406">
      <c r="A406" s="6" t="s">
        <v>842</v>
      </c>
      <c r="B406" s="6" t="s">
        <v>843</v>
      </c>
      <c r="C406" s="7" t="s">
        <v>28</v>
      </c>
      <c r="D406" s="6" t="s">
        <v>21</v>
      </c>
      <c r="E406" s="9">
        <v>76.7</v>
      </c>
      <c r="F406" s="6" t="s">
        <v>963</v>
      </c>
      <c r="G406" s="6">
        <f>IFERROR(__xludf.DUMMYFUNCTION("RANK(E406, FILTER($E$2:$E1000, $D$2:$D1000=D406), 0)"),64.0)</f>
        <v>64</v>
      </c>
      <c r="H406" s="9" t="str">
        <f>IF(G406&lt;=VLOOKUP(D406, Interview_Slots!$A$2:$B$5, 2, FALSE), "Allocated", "Not Allocated")</f>
        <v>Not Allocated</v>
      </c>
    </row>
    <row r="407">
      <c r="A407" s="6" t="s">
        <v>844</v>
      </c>
      <c r="B407" s="6" t="s">
        <v>845</v>
      </c>
      <c r="C407" s="7" t="s">
        <v>28</v>
      </c>
      <c r="D407" s="6" t="s">
        <v>17</v>
      </c>
      <c r="E407" s="9">
        <v>75.25</v>
      </c>
      <c r="F407" s="6" t="s">
        <v>962</v>
      </c>
      <c r="G407" s="6">
        <f>IFERROR(__xludf.DUMMYFUNCTION("RANK(E407, FILTER($E$2:$E1000, $D$2:$D1000=D407), 0)"),78.0)</f>
        <v>78</v>
      </c>
      <c r="H407" s="9" t="str">
        <f>IF(G407&lt;=VLOOKUP(D407, Interview_Slots!$A$2:$B$5, 2, FALSE), "Allocated", "Not Allocated")</f>
        <v>Allocated</v>
      </c>
    </row>
    <row r="408">
      <c r="A408" s="6" t="s">
        <v>846</v>
      </c>
      <c r="B408" s="6" t="s">
        <v>847</v>
      </c>
      <c r="C408" s="7" t="s">
        <v>28</v>
      </c>
      <c r="D408" s="6" t="s">
        <v>21</v>
      </c>
      <c r="E408" s="9">
        <v>74.85</v>
      </c>
      <c r="F408" s="6" t="s">
        <v>962</v>
      </c>
      <c r="G408" s="6">
        <f>IFERROR(__xludf.DUMMYFUNCTION("RANK(E408, FILTER($E$2:$E1000, $D$2:$D1000=D408), 0)"),74.0)</f>
        <v>74</v>
      </c>
      <c r="H408" s="9" t="str">
        <f>IF(G408&lt;=VLOOKUP(D408, Interview_Slots!$A$2:$B$5, 2, FALSE), "Allocated", "Not Allocated")</f>
        <v>Not Allocated</v>
      </c>
    </row>
    <row r="409">
      <c r="A409" s="6" t="s">
        <v>848</v>
      </c>
      <c r="B409" s="6" t="s">
        <v>849</v>
      </c>
      <c r="C409" s="7" t="s">
        <v>41</v>
      </c>
      <c r="D409" s="6" t="s">
        <v>25</v>
      </c>
      <c r="E409" s="9">
        <v>62.0</v>
      </c>
      <c r="F409" s="6" t="s">
        <v>963</v>
      </c>
      <c r="G409" s="6">
        <f>IFERROR(__xludf.DUMMYFUNCTION("RANK(E409, FILTER($E$2:$E1000, $D$2:$D1000=D409), 0)"),110.0)</f>
        <v>110</v>
      </c>
      <c r="H409" s="9" t="str">
        <f>IF(G409&lt;=VLOOKUP(D409, Interview_Slots!$A$2:$B$5, 2, FALSE), "Allocated", "Not Allocated")</f>
        <v>Not Allocated</v>
      </c>
    </row>
    <row r="410">
      <c r="A410" s="6" t="s">
        <v>850</v>
      </c>
      <c r="B410" s="6" t="s">
        <v>851</v>
      </c>
      <c r="C410" s="7" t="s">
        <v>41</v>
      </c>
      <c r="D410" s="6" t="s">
        <v>25</v>
      </c>
      <c r="E410" s="9">
        <v>83.4</v>
      </c>
      <c r="F410" s="6" t="s">
        <v>962</v>
      </c>
      <c r="G410" s="6">
        <f>IFERROR(__xludf.DUMMYFUNCTION("RANK(E410, FILTER($E$2:$E1000, $D$2:$D1000=D410), 0)"),30.0)</f>
        <v>30</v>
      </c>
      <c r="H410" s="9" t="str">
        <f>IF(G410&lt;=VLOOKUP(D410, Interview_Slots!$A$2:$B$5, 2, FALSE), "Allocated", "Not Allocated")</f>
        <v>Allocated</v>
      </c>
    </row>
    <row r="411">
      <c r="A411" s="6" t="s">
        <v>852</v>
      </c>
      <c r="B411" s="6" t="s">
        <v>853</v>
      </c>
      <c r="C411" s="7" t="s">
        <v>41</v>
      </c>
      <c r="D411" s="6" t="s">
        <v>25</v>
      </c>
      <c r="E411" s="9">
        <v>69.65</v>
      </c>
      <c r="F411" s="6" t="s">
        <v>963</v>
      </c>
      <c r="G411" s="6">
        <f>IFERROR(__xludf.DUMMYFUNCTION("RANK(E411, FILTER($E$2:$E1000, $D$2:$D1000=D411), 0)"),99.0)</f>
        <v>99</v>
      </c>
      <c r="H411" s="9" t="str">
        <f>IF(G411&lt;=VLOOKUP(D411, Interview_Slots!$A$2:$B$5, 2, FALSE), "Allocated", "Not Allocated")</f>
        <v>Not Allocated</v>
      </c>
    </row>
    <row r="412">
      <c r="A412" s="6" t="s">
        <v>854</v>
      </c>
      <c r="B412" s="6" t="s">
        <v>855</v>
      </c>
      <c r="C412" s="7" t="s">
        <v>41</v>
      </c>
      <c r="D412" s="6" t="s">
        <v>17</v>
      </c>
      <c r="E412" s="9">
        <v>67.8</v>
      </c>
      <c r="F412" s="6" t="s">
        <v>962</v>
      </c>
      <c r="G412" s="6">
        <f>IFERROR(__xludf.DUMMYFUNCTION("RANK(E412, FILTER($E$2:$E1000, $D$2:$D1000=D412), 0)"),101.0)</f>
        <v>101</v>
      </c>
      <c r="H412" s="9" t="str">
        <f>IF(G412&lt;=VLOOKUP(D412, Interview_Slots!$A$2:$B$5, 2, FALSE), "Allocated", "Not Allocated")</f>
        <v>Not Allocated</v>
      </c>
    </row>
    <row r="413">
      <c r="A413" s="6" t="s">
        <v>856</v>
      </c>
      <c r="B413" s="6" t="s">
        <v>857</v>
      </c>
      <c r="C413" s="7" t="s">
        <v>53</v>
      </c>
      <c r="D413" s="6" t="s">
        <v>32</v>
      </c>
      <c r="E413" s="9">
        <v>82.1</v>
      </c>
      <c r="F413" s="6" t="s">
        <v>962</v>
      </c>
      <c r="G413" s="6">
        <f>IFERROR(__xludf.DUMMYFUNCTION("RANK(E413, FILTER($E$2:$E1000, $D$2:$D1000=D413), 0)"),39.0)</f>
        <v>39</v>
      </c>
      <c r="H413" s="9" t="str">
        <f>IF(G413&lt;=VLOOKUP(D413, Interview_Slots!$A$2:$B$5, 2, FALSE), "Allocated", "Not Allocated")</f>
        <v>Allocated</v>
      </c>
    </row>
    <row r="414">
      <c r="A414" s="6" t="s">
        <v>858</v>
      </c>
      <c r="B414" s="6" t="s">
        <v>859</v>
      </c>
      <c r="C414" s="7" t="s">
        <v>53</v>
      </c>
      <c r="D414" s="6" t="s">
        <v>17</v>
      </c>
      <c r="E414" s="9">
        <v>94.89999999999999</v>
      </c>
      <c r="F414" s="6" t="s">
        <v>962</v>
      </c>
      <c r="G414" s="6">
        <f>IFERROR(__xludf.DUMMYFUNCTION("RANK(E414, FILTER($E$2:$E1000, $D$2:$D1000=D414), 0)"),2.0)</f>
        <v>2</v>
      </c>
      <c r="H414" s="9" t="str">
        <f>IF(G414&lt;=VLOOKUP(D414, Interview_Slots!$A$2:$B$5, 2, FALSE), "Allocated", "Not Allocated")</f>
        <v>Allocated</v>
      </c>
    </row>
    <row r="415">
      <c r="A415" s="6" t="s">
        <v>860</v>
      </c>
      <c r="B415" s="6" t="s">
        <v>861</v>
      </c>
      <c r="C415" s="7" t="s">
        <v>53</v>
      </c>
      <c r="D415" s="6" t="s">
        <v>21</v>
      </c>
      <c r="E415" s="9">
        <v>88.55</v>
      </c>
      <c r="F415" s="6" t="s">
        <v>963</v>
      </c>
      <c r="G415" s="6">
        <f>IFERROR(__xludf.DUMMYFUNCTION("RANK(E415, FILTER($E$2:$E1000, $D$2:$D1000=D415), 0)"),11.0)</f>
        <v>11</v>
      </c>
      <c r="H415" s="9" t="str">
        <f>IF(G415&lt;=VLOOKUP(D415, Interview_Slots!$A$2:$B$5, 2, FALSE), "Allocated", "Not Allocated")</f>
        <v>Allocated</v>
      </c>
    </row>
    <row r="416">
      <c r="A416" s="6" t="s">
        <v>862</v>
      </c>
      <c r="B416" s="6" t="s">
        <v>863</v>
      </c>
      <c r="C416" s="7" t="s">
        <v>53</v>
      </c>
      <c r="D416" s="6" t="s">
        <v>32</v>
      </c>
      <c r="E416" s="9">
        <v>75.89999999999999</v>
      </c>
      <c r="F416" s="6" t="s">
        <v>962</v>
      </c>
      <c r="G416" s="6">
        <f>IFERROR(__xludf.DUMMYFUNCTION("RANK(E416, FILTER($E$2:$E1000, $D$2:$D1000=D416), 0)"),57.0)</f>
        <v>57</v>
      </c>
      <c r="H416" s="9" t="str">
        <f>IF(G416&lt;=VLOOKUP(D416, Interview_Slots!$A$2:$B$5, 2, FALSE), "Allocated", "Not Allocated")</f>
        <v>Allocated</v>
      </c>
    </row>
    <row r="417">
      <c r="A417" s="6" t="s">
        <v>864</v>
      </c>
      <c r="B417" s="6" t="s">
        <v>865</v>
      </c>
      <c r="C417" s="7" t="s">
        <v>65</v>
      </c>
      <c r="D417" s="6" t="s">
        <v>32</v>
      </c>
      <c r="E417" s="9">
        <v>72.69999999999999</v>
      </c>
      <c r="F417" s="6" t="s">
        <v>962</v>
      </c>
      <c r="G417" s="6">
        <f>IFERROR(__xludf.DUMMYFUNCTION("RANK(E417, FILTER($E$2:$E1000, $D$2:$D1000=D417), 0)"),76.0)</f>
        <v>76</v>
      </c>
      <c r="H417" s="9" t="str">
        <f>IF(G417&lt;=VLOOKUP(D417, Interview_Slots!$A$2:$B$5, 2, FALSE), "Allocated", "Not Allocated")</f>
        <v>Not Allocated</v>
      </c>
    </row>
    <row r="418">
      <c r="A418" s="6" t="s">
        <v>866</v>
      </c>
      <c r="B418" s="6" t="s">
        <v>867</v>
      </c>
      <c r="C418" s="7" t="s">
        <v>65</v>
      </c>
      <c r="D418" s="6" t="s">
        <v>17</v>
      </c>
      <c r="E418" s="9">
        <v>82.55</v>
      </c>
      <c r="F418" s="6" t="s">
        <v>962</v>
      </c>
      <c r="G418" s="6">
        <f>IFERROR(__xludf.DUMMYFUNCTION("RANK(E418, FILTER($E$2:$E1000, $D$2:$D1000=D418), 0)"),36.0)</f>
        <v>36</v>
      </c>
      <c r="H418" s="9" t="str">
        <f>IF(G418&lt;=VLOOKUP(D418, Interview_Slots!$A$2:$B$5, 2, FALSE), "Allocated", "Not Allocated")</f>
        <v>Allocated</v>
      </c>
    </row>
    <row r="419">
      <c r="A419" s="6" t="s">
        <v>868</v>
      </c>
      <c r="B419" s="6" t="s">
        <v>869</v>
      </c>
      <c r="C419" s="7" t="s">
        <v>65</v>
      </c>
      <c r="D419" s="6" t="s">
        <v>21</v>
      </c>
      <c r="E419" s="9">
        <v>81.5</v>
      </c>
      <c r="F419" s="6" t="s">
        <v>962</v>
      </c>
      <c r="G419" s="6">
        <f>IFERROR(__xludf.DUMMYFUNCTION("RANK(E419, FILTER($E$2:$E1000, $D$2:$D1000=D419), 0)"),32.0)</f>
        <v>32</v>
      </c>
      <c r="H419" s="9" t="str">
        <f>IF(G419&lt;=VLOOKUP(D419, Interview_Slots!$A$2:$B$5, 2, FALSE), "Allocated", "Not Allocated")</f>
        <v>Allocated</v>
      </c>
    </row>
    <row r="420">
      <c r="A420" s="6" t="s">
        <v>870</v>
      </c>
      <c r="B420" s="6" t="s">
        <v>871</v>
      </c>
      <c r="C420" s="7" t="s">
        <v>65</v>
      </c>
      <c r="D420" s="6" t="s">
        <v>32</v>
      </c>
      <c r="E420" s="9">
        <v>82.9</v>
      </c>
      <c r="F420" s="6" t="s">
        <v>962</v>
      </c>
      <c r="G420" s="6">
        <f>IFERROR(__xludf.DUMMYFUNCTION("RANK(E420, FILTER($E$2:$E1000, $D$2:$D1000=D420), 0)"),38.0)</f>
        <v>38</v>
      </c>
      <c r="H420" s="9" t="str">
        <f>IF(G420&lt;=VLOOKUP(D420, Interview_Slots!$A$2:$B$5, 2, FALSE), "Allocated", "Not Allocated")</f>
        <v>Allocated</v>
      </c>
    </row>
    <row r="421">
      <c r="A421" s="6" t="s">
        <v>872</v>
      </c>
      <c r="B421" s="6" t="s">
        <v>873</v>
      </c>
      <c r="C421" s="7" t="s">
        <v>28</v>
      </c>
      <c r="D421" s="6" t="s">
        <v>21</v>
      </c>
      <c r="E421" s="9">
        <v>79.0</v>
      </c>
      <c r="F421" s="6" t="s">
        <v>963</v>
      </c>
      <c r="G421" s="6">
        <f>IFERROR(__xludf.DUMMYFUNCTION("RANK(E421, FILTER($E$2:$E1000, $D$2:$D1000=D421), 0)"),53.0)</f>
        <v>53</v>
      </c>
      <c r="H421" s="9" t="str">
        <f>IF(G421&lt;=VLOOKUP(D421, Interview_Slots!$A$2:$B$5, 2, FALSE), "Allocated", "Not Allocated")</f>
        <v>Not Allocated</v>
      </c>
    </row>
    <row r="422">
      <c r="A422" s="6" t="s">
        <v>874</v>
      </c>
      <c r="B422" s="6" t="s">
        <v>875</v>
      </c>
      <c r="C422" s="7" t="s">
        <v>28</v>
      </c>
      <c r="D422" s="6" t="s">
        <v>25</v>
      </c>
      <c r="E422" s="9">
        <v>78.4</v>
      </c>
      <c r="F422" s="6" t="s">
        <v>963</v>
      </c>
      <c r="G422" s="6">
        <f>IFERROR(__xludf.DUMMYFUNCTION("RANK(E422, FILTER($E$2:$E1000, $D$2:$D1000=D422), 0)"),54.0)</f>
        <v>54</v>
      </c>
      <c r="H422" s="9" t="str">
        <f>IF(G422&lt;=VLOOKUP(D422, Interview_Slots!$A$2:$B$5, 2, FALSE), "Allocated", "Not Allocated")</f>
        <v>Not Allocated</v>
      </c>
    </row>
    <row r="423">
      <c r="A423" s="6" t="s">
        <v>876</v>
      </c>
      <c r="B423" s="6" t="s">
        <v>877</v>
      </c>
      <c r="C423" s="7" t="s">
        <v>28</v>
      </c>
      <c r="D423" s="6" t="s">
        <v>25</v>
      </c>
      <c r="E423" s="9">
        <v>80.9</v>
      </c>
      <c r="F423" s="6" t="s">
        <v>963</v>
      </c>
      <c r="G423" s="6">
        <f>IFERROR(__xludf.DUMMYFUNCTION("RANK(E423, FILTER($E$2:$E1000, $D$2:$D1000=D423), 0)"),44.0)</f>
        <v>44</v>
      </c>
      <c r="H423" s="9" t="str">
        <f>IF(G423&lt;=VLOOKUP(D423, Interview_Slots!$A$2:$B$5, 2, FALSE), "Allocated", "Not Allocated")</f>
        <v>Not Allocated</v>
      </c>
    </row>
    <row r="424">
      <c r="A424" s="6" t="s">
        <v>878</v>
      </c>
      <c r="B424" s="6" t="s">
        <v>879</v>
      </c>
      <c r="C424" s="7" t="s">
        <v>28</v>
      </c>
      <c r="D424" s="6" t="s">
        <v>21</v>
      </c>
      <c r="E424" s="9">
        <v>67.55</v>
      </c>
      <c r="F424" s="6" t="s">
        <v>963</v>
      </c>
      <c r="G424" s="6">
        <f>IFERROR(__xludf.DUMMYFUNCTION("RANK(E424, FILTER($E$2:$E1000, $D$2:$D1000=D424), 0)"),115.0)</f>
        <v>115</v>
      </c>
      <c r="H424" s="9" t="str">
        <f>IF(G424&lt;=VLOOKUP(D424, Interview_Slots!$A$2:$B$5, 2, FALSE), "Allocated", "Not Allocated")</f>
        <v>Not Allocated</v>
      </c>
    </row>
    <row r="425">
      <c r="A425" s="6" t="s">
        <v>880</v>
      </c>
      <c r="B425" s="6" t="s">
        <v>881</v>
      </c>
      <c r="C425" s="7" t="s">
        <v>41</v>
      </c>
      <c r="D425" s="6" t="s">
        <v>17</v>
      </c>
      <c r="E425" s="9">
        <v>86.65</v>
      </c>
      <c r="F425" s="6" t="s">
        <v>962</v>
      </c>
      <c r="G425" s="6">
        <f>IFERROR(__xludf.DUMMYFUNCTION("RANK(E425, FILTER($E$2:$E1000, $D$2:$D1000=D425), 0)"),18.0)</f>
        <v>18</v>
      </c>
      <c r="H425" s="9" t="str">
        <f>IF(G425&lt;=VLOOKUP(D425, Interview_Slots!$A$2:$B$5, 2, FALSE), "Allocated", "Not Allocated")</f>
        <v>Allocated</v>
      </c>
    </row>
    <row r="426">
      <c r="A426" s="6" t="s">
        <v>882</v>
      </c>
      <c r="B426" s="6" t="s">
        <v>883</v>
      </c>
      <c r="C426" s="7" t="s">
        <v>41</v>
      </c>
      <c r="D426" s="6" t="s">
        <v>32</v>
      </c>
      <c r="E426" s="9">
        <v>84.69999999999999</v>
      </c>
      <c r="F426" s="6" t="s">
        <v>962</v>
      </c>
      <c r="G426" s="6">
        <f>IFERROR(__xludf.DUMMYFUNCTION("RANK(E426, FILTER($E$2:$E1000, $D$2:$D1000=D426), 0)"),26.0)</f>
        <v>26</v>
      </c>
      <c r="H426" s="9" t="str">
        <f>IF(G426&lt;=VLOOKUP(D426, Interview_Slots!$A$2:$B$5, 2, FALSE), "Allocated", "Not Allocated")</f>
        <v>Allocated</v>
      </c>
    </row>
    <row r="427">
      <c r="A427" s="6" t="s">
        <v>884</v>
      </c>
      <c r="B427" s="6" t="s">
        <v>885</v>
      </c>
      <c r="C427" s="7" t="s">
        <v>41</v>
      </c>
      <c r="D427" s="6" t="s">
        <v>17</v>
      </c>
      <c r="E427" s="9">
        <v>67.7</v>
      </c>
      <c r="F427" s="6" t="s">
        <v>962</v>
      </c>
      <c r="G427" s="6">
        <f>IFERROR(__xludf.DUMMYFUNCTION("RANK(E427, FILTER($E$2:$E1000, $D$2:$D1000=D427), 0)"),102.0)</f>
        <v>102</v>
      </c>
      <c r="H427" s="9" t="str">
        <f>IF(G427&lt;=VLOOKUP(D427, Interview_Slots!$A$2:$B$5, 2, FALSE), "Allocated", "Not Allocated")</f>
        <v>Not Allocated</v>
      </c>
    </row>
    <row r="428">
      <c r="A428" s="6" t="s">
        <v>886</v>
      </c>
      <c r="B428" s="6" t="s">
        <v>887</v>
      </c>
      <c r="C428" s="7" t="s">
        <v>41</v>
      </c>
      <c r="D428" s="6" t="s">
        <v>21</v>
      </c>
      <c r="E428" s="9">
        <v>68.65</v>
      </c>
      <c r="F428" s="6" t="s">
        <v>963</v>
      </c>
      <c r="G428" s="6">
        <f>IFERROR(__xludf.DUMMYFUNCTION("RANK(E428, FILTER($E$2:$E1000, $D$2:$D1000=D428), 0)"),111.0)</f>
        <v>111</v>
      </c>
      <c r="H428" s="9" t="str">
        <f>IF(G428&lt;=VLOOKUP(D428, Interview_Slots!$A$2:$B$5, 2, FALSE), "Allocated", "Not Allocated")</f>
        <v>Not Allocated</v>
      </c>
    </row>
    <row r="429">
      <c r="A429" s="6" t="s">
        <v>888</v>
      </c>
      <c r="B429" s="6" t="s">
        <v>889</v>
      </c>
      <c r="C429" s="7" t="s">
        <v>53</v>
      </c>
      <c r="D429" s="6" t="s">
        <v>32</v>
      </c>
      <c r="E429" s="9">
        <v>74.75</v>
      </c>
      <c r="F429" s="6" t="s">
        <v>962</v>
      </c>
      <c r="G429" s="6">
        <f>IFERROR(__xludf.DUMMYFUNCTION("RANK(E429, FILTER($E$2:$E1000, $D$2:$D1000=D429), 0)"),62.0)</f>
        <v>62</v>
      </c>
      <c r="H429" s="9" t="str">
        <f>IF(G429&lt;=VLOOKUP(D429, Interview_Slots!$A$2:$B$5, 2, FALSE), "Allocated", "Not Allocated")</f>
        <v>Not Allocated</v>
      </c>
    </row>
    <row r="430">
      <c r="A430" s="6" t="s">
        <v>890</v>
      </c>
      <c r="B430" s="6" t="s">
        <v>891</v>
      </c>
      <c r="C430" s="7" t="s">
        <v>53</v>
      </c>
      <c r="D430" s="6" t="s">
        <v>32</v>
      </c>
      <c r="E430" s="9">
        <v>72.8</v>
      </c>
      <c r="F430" s="6" t="s">
        <v>962</v>
      </c>
      <c r="G430" s="6">
        <f>IFERROR(__xludf.DUMMYFUNCTION("RANK(E430, FILTER($E$2:$E1000, $D$2:$D1000=D430), 0)"),73.0)</f>
        <v>73</v>
      </c>
      <c r="H430" s="9" t="str">
        <f>IF(G430&lt;=VLOOKUP(D430, Interview_Slots!$A$2:$B$5, 2, FALSE), "Allocated", "Not Allocated")</f>
        <v>Not Allocated</v>
      </c>
    </row>
    <row r="431">
      <c r="A431" s="6" t="s">
        <v>892</v>
      </c>
      <c r="B431" s="6" t="s">
        <v>893</v>
      </c>
      <c r="C431" s="7" t="s">
        <v>53</v>
      </c>
      <c r="D431" s="6" t="s">
        <v>17</v>
      </c>
      <c r="E431" s="9">
        <v>62.3</v>
      </c>
      <c r="F431" s="6" t="s">
        <v>962</v>
      </c>
      <c r="G431" s="6">
        <f>IFERROR(__xludf.DUMMYFUNCTION("RANK(E431, FILTER($E$2:$E1000, $D$2:$D1000=D431), 0)"),110.0)</f>
        <v>110</v>
      </c>
      <c r="H431" s="9" t="str">
        <f>IF(G431&lt;=VLOOKUP(D431, Interview_Slots!$A$2:$B$5, 2, FALSE), "Allocated", "Not Allocated")</f>
        <v>Not Allocated</v>
      </c>
    </row>
    <row r="432">
      <c r="A432" s="6" t="s">
        <v>894</v>
      </c>
      <c r="B432" s="6" t="s">
        <v>895</v>
      </c>
      <c r="C432" s="7" t="s">
        <v>53</v>
      </c>
      <c r="D432" s="6" t="s">
        <v>21</v>
      </c>
      <c r="E432" s="9">
        <v>73.6</v>
      </c>
      <c r="F432" s="6" t="s">
        <v>963</v>
      </c>
      <c r="G432" s="6">
        <f>IFERROR(__xludf.DUMMYFUNCTION("RANK(E432, FILTER($E$2:$E1000, $D$2:$D1000=D432), 0)"),86.0)</f>
        <v>86</v>
      </c>
      <c r="H432" s="9" t="str">
        <f>IF(G432&lt;=VLOOKUP(D432, Interview_Slots!$A$2:$B$5, 2, FALSE), "Allocated", "Not Allocated")</f>
        <v>Not Allocated</v>
      </c>
    </row>
    <row r="433">
      <c r="A433" s="6" t="s">
        <v>896</v>
      </c>
      <c r="B433" s="6" t="s">
        <v>897</v>
      </c>
      <c r="C433" s="7" t="s">
        <v>65</v>
      </c>
      <c r="D433" s="6" t="s">
        <v>21</v>
      </c>
      <c r="E433" s="9">
        <v>80.4</v>
      </c>
      <c r="F433" s="6" t="s">
        <v>962</v>
      </c>
      <c r="G433" s="6">
        <f>IFERROR(__xludf.DUMMYFUNCTION("RANK(E433, FILTER($E$2:$E1000, $D$2:$D1000=D433), 0)"),43.0)</f>
        <v>43</v>
      </c>
      <c r="H433" s="9" t="str">
        <f>IF(G433&lt;=VLOOKUP(D433, Interview_Slots!$A$2:$B$5, 2, FALSE), "Allocated", "Not Allocated")</f>
        <v>Allocated</v>
      </c>
    </row>
    <row r="434">
      <c r="A434" s="6" t="s">
        <v>898</v>
      </c>
      <c r="B434" s="6" t="s">
        <v>899</v>
      </c>
      <c r="C434" s="7" t="s">
        <v>65</v>
      </c>
      <c r="D434" s="6" t="s">
        <v>21</v>
      </c>
      <c r="E434" s="9">
        <v>81.4</v>
      </c>
      <c r="F434" s="6" t="s">
        <v>963</v>
      </c>
      <c r="G434" s="6">
        <f>IFERROR(__xludf.DUMMYFUNCTION("RANK(E434, FILTER($E$2:$E1000, $D$2:$D1000=D434), 0)"),33.0)</f>
        <v>33</v>
      </c>
      <c r="H434" s="9" t="str">
        <f>IF(G434&lt;=VLOOKUP(D434, Interview_Slots!$A$2:$B$5, 2, FALSE), "Allocated", "Not Allocated")</f>
        <v>Allocated</v>
      </c>
    </row>
    <row r="435">
      <c r="A435" s="6" t="s">
        <v>900</v>
      </c>
      <c r="B435" s="6" t="s">
        <v>901</v>
      </c>
      <c r="C435" s="7" t="s">
        <v>65</v>
      </c>
      <c r="D435" s="6" t="s">
        <v>25</v>
      </c>
      <c r="E435" s="9">
        <v>70.5</v>
      </c>
      <c r="F435" s="6" t="s">
        <v>963</v>
      </c>
      <c r="G435" s="6">
        <f>IFERROR(__xludf.DUMMYFUNCTION("RANK(E435, FILTER($E$2:$E1000, $D$2:$D1000=D435), 0)"),94.0)</f>
        <v>94</v>
      </c>
      <c r="H435" s="9" t="str">
        <f>IF(G435&lt;=VLOOKUP(D435, Interview_Slots!$A$2:$B$5, 2, FALSE), "Allocated", "Not Allocated")</f>
        <v>Not Allocated</v>
      </c>
    </row>
    <row r="436">
      <c r="A436" s="6" t="s">
        <v>902</v>
      </c>
      <c r="B436" s="6" t="s">
        <v>903</v>
      </c>
      <c r="C436" s="7" t="s">
        <v>28</v>
      </c>
      <c r="D436" s="6" t="s">
        <v>25</v>
      </c>
      <c r="E436" s="9">
        <v>76.9</v>
      </c>
      <c r="F436" s="6" t="s">
        <v>963</v>
      </c>
      <c r="G436" s="6">
        <f>IFERROR(__xludf.DUMMYFUNCTION("RANK(E436, FILTER($E$2:$E1000, $D$2:$D1000=D436), 0)"),62.0)</f>
        <v>62</v>
      </c>
      <c r="H436" s="9" t="str">
        <f>IF(G436&lt;=VLOOKUP(D436, Interview_Slots!$A$2:$B$5, 2, FALSE), "Allocated", "Not Allocated")</f>
        <v>Not Allocated</v>
      </c>
    </row>
    <row r="437">
      <c r="A437" s="6" t="s">
        <v>904</v>
      </c>
      <c r="B437" s="6" t="s">
        <v>905</v>
      </c>
      <c r="C437" s="7" t="s">
        <v>28</v>
      </c>
      <c r="D437" s="6" t="s">
        <v>25</v>
      </c>
      <c r="E437" s="9">
        <v>90.0</v>
      </c>
      <c r="F437" s="6" t="s">
        <v>963</v>
      </c>
      <c r="G437" s="6">
        <f>IFERROR(__xludf.DUMMYFUNCTION("RANK(E437, FILTER($E$2:$E1000, $D$2:$D1000=D437), 0)"),7.0)</f>
        <v>7</v>
      </c>
      <c r="H437" s="9" t="str">
        <f>IF(G437&lt;=VLOOKUP(D437, Interview_Slots!$A$2:$B$5, 2, FALSE), "Allocated", "Not Allocated")</f>
        <v>Allocated</v>
      </c>
    </row>
    <row r="438">
      <c r="A438" s="6" t="s">
        <v>906</v>
      </c>
      <c r="B438" s="6" t="s">
        <v>907</v>
      </c>
      <c r="C438" s="7" t="s">
        <v>28</v>
      </c>
      <c r="D438" s="6" t="s">
        <v>25</v>
      </c>
      <c r="E438" s="9">
        <v>92.55</v>
      </c>
      <c r="F438" s="6" t="s">
        <v>962</v>
      </c>
      <c r="G438" s="6">
        <f>IFERROR(__xludf.DUMMYFUNCTION("RANK(E438, FILTER($E$2:$E1000, $D$2:$D1000=D438), 0)"),2.0)</f>
        <v>2</v>
      </c>
      <c r="H438" s="9" t="str">
        <f>IF(G438&lt;=VLOOKUP(D438, Interview_Slots!$A$2:$B$5, 2, FALSE), "Allocated", "Not Allocated")</f>
        <v>Allocated</v>
      </c>
    </row>
    <row r="439">
      <c r="A439" s="6" t="s">
        <v>908</v>
      </c>
      <c r="B439" s="6" t="s">
        <v>909</v>
      </c>
      <c r="C439" s="7" t="s">
        <v>28</v>
      </c>
      <c r="D439" s="6" t="s">
        <v>32</v>
      </c>
      <c r="E439" s="9">
        <v>68.9</v>
      </c>
      <c r="F439" s="6" t="s">
        <v>962</v>
      </c>
      <c r="G439" s="6">
        <f>IFERROR(__xludf.DUMMYFUNCTION("RANK(E439, FILTER($E$2:$E1000, $D$2:$D1000=D439), 0)"),91.0)</f>
        <v>91</v>
      </c>
      <c r="H439" s="9" t="str">
        <f>IF(G439&lt;=VLOOKUP(D439, Interview_Slots!$A$2:$B$5, 2, FALSE), "Allocated", "Not Allocated")</f>
        <v>Not Allocated</v>
      </c>
    </row>
    <row r="440">
      <c r="A440" s="6" t="s">
        <v>910</v>
      </c>
      <c r="B440" s="6" t="s">
        <v>911</v>
      </c>
      <c r="C440" s="7" t="s">
        <v>41</v>
      </c>
      <c r="D440" s="6" t="s">
        <v>17</v>
      </c>
      <c r="E440" s="9">
        <v>77.65</v>
      </c>
      <c r="F440" s="6" t="s">
        <v>962</v>
      </c>
      <c r="G440" s="6">
        <f>IFERROR(__xludf.DUMMYFUNCTION("RANK(E440, FILTER($E$2:$E1000, $D$2:$D1000=D440), 0)"),60.0)</f>
        <v>60</v>
      </c>
      <c r="H440" s="9" t="str">
        <f>IF(G440&lt;=VLOOKUP(D440, Interview_Slots!$A$2:$B$5, 2, FALSE), "Allocated", "Not Allocated")</f>
        <v>Allocated</v>
      </c>
    </row>
    <row r="441">
      <c r="A441" s="6" t="s">
        <v>912</v>
      </c>
      <c r="B441" s="6" t="s">
        <v>913</v>
      </c>
      <c r="C441" s="7" t="s">
        <v>41</v>
      </c>
      <c r="D441" s="6" t="s">
        <v>21</v>
      </c>
      <c r="E441" s="9">
        <v>86.1</v>
      </c>
      <c r="F441" s="6" t="s">
        <v>963</v>
      </c>
      <c r="G441" s="6">
        <f>IFERROR(__xludf.DUMMYFUNCTION("RANK(E441, FILTER($E$2:$E1000, $D$2:$D1000=D441), 0)"),18.0)</f>
        <v>18</v>
      </c>
      <c r="H441" s="9" t="str">
        <f>IF(G441&lt;=VLOOKUP(D441, Interview_Slots!$A$2:$B$5, 2, FALSE), "Allocated", "Not Allocated")</f>
        <v>Allocated</v>
      </c>
    </row>
    <row r="442">
      <c r="A442" s="6" t="s">
        <v>914</v>
      </c>
      <c r="B442" s="6" t="s">
        <v>915</v>
      </c>
      <c r="C442" s="7" t="s">
        <v>41</v>
      </c>
      <c r="D442" s="6" t="s">
        <v>32</v>
      </c>
      <c r="E442" s="9">
        <v>72.44999999999999</v>
      </c>
      <c r="F442" s="6" t="s">
        <v>962</v>
      </c>
      <c r="G442" s="6">
        <f>IFERROR(__xludf.DUMMYFUNCTION("RANK(E442, FILTER($E$2:$E1000, $D$2:$D1000=D442), 0)"),78.0)</f>
        <v>78</v>
      </c>
      <c r="H442" s="9" t="str">
        <f>IF(G442&lt;=VLOOKUP(D442, Interview_Slots!$A$2:$B$5, 2, FALSE), "Allocated", "Not Allocated")</f>
        <v>Not Allocated</v>
      </c>
    </row>
    <row r="443">
      <c r="A443" s="6" t="s">
        <v>916</v>
      </c>
      <c r="B443" s="6" t="s">
        <v>917</v>
      </c>
      <c r="C443" s="7" t="s">
        <v>41</v>
      </c>
      <c r="D443" s="6" t="s">
        <v>32</v>
      </c>
      <c r="E443" s="9">
        <v>74.69999999999999</v>
      </c>
      <c r="F443" s="6" t="s">
        <v>962</v>
      </c>
      <c r="G443" s="6">
        <f>IFERROR(__xludf.DUMMYFUNCTION("RANK(E443, FILTER($E$2:$E1000, $D$2:$D1000=D443), 0)"),63.0)</f>
        <v>63</v>
      </c>
      <c r="H443" s="9" t="str">
        <f>IF(G443&lt;=VLOOKUP(D443, Interview_Slots!$A$2:$B$5, 2, FALSE), "Allocated", "Not Allocated")</f>
        <v>Not Allocated</v>
      </c>
    </row>
    <row r="444">
      <c r="A444" s="6" t="s">
        <v>918</v>
      </c>
      <c r="B444" s="6" t="s">
        <v>919</v>
      </c>
      <c r="C444" s="7" t="s">
        <v>53</v>
      </c>
      <c r="D444" s="6" t="s">
        <v>17</v>
      </c>
      <c r="E444" s="9">
        <v>83.05</v>
      </c>
      <c r="F444" s="6" t="s">
        <v>962</v>
      </c>
      <c r="G444" s="6">
        <f>IFERROR(__xludf.DUMMYFUNCTION("RANK(E444, FILTER($E$2:$E1000, $D$2:$D1000=D444), 0)"),32.0)</f>
        <v>32</v>
      </c>
      <c r="H444" s="9" t="str">
        <f>IF(G444&lt;=VLOOKUP(D444, Interview_Slots!$A$2:$B$5, 2, FALSE), "Allocated", "Not Allocated")</f>
        <v>Allocated</v>
      </c>
    </row>
    <row r="445">
      <c r="A445" s="6" t="s">
        <v>920</v>
      </c>
      <c r="B445" s="6" t="s">
        <v>921</v>
      </c>
      <c r="C445" s="7" t="s">
        <v>53</v>
      </c>
      <c r="D445" s="6" t="s">
        <v>21</v>
      </c>
      <c r="E445" s="9">
        <v>74.95</v>
      </c>
      <c r="F445" s="6" t="s">
        <v>962</v>
      </c>
      <c r="G445" s="6">
        <f>IFERROR(__xludf.DUMMYFUNCTION("RANK(E445, FILTER($E$2:$E1000, $D$2:$D1000=D445), 0)"),73.0)</f>
        <v>73</v>
      </c>
      <c r="H445" s="9" t="str">
        <f>IF(G445&lt;=VLOOKUP(D445, Interview_Slots!$A$2:$B$5, 2, FALSE), "Allocated", "Not Allocated")</f>
        <v>Not Allocated</v>
      </c>
    </row>
    <row r="446">
      <c r="A446" s="6" t="s">
        <v>922</v>
      </c>
      <c r="B446" s="6" t="s">
        <v>923</v>
      </c>
      <c r="C446" s="7" t="s">
        <v>53</v>
      </c>
      <c r="D446" s="6" t="s">
        <v>21</v>
      </c>
      <c r="E446" s="9">
        <v>63.349999999999994</v>
      </c>
      <c r="F446" s="6" t="s">
        <v>963</v>
      </c>
      <c r="G446" s="6">
        <f>IFERROR(__xludf.DUMMYFUNCTION("RANK(E446, FILTER($E$2:$E1000, $D$2:$D1000=D446), 0)"),134.0)</f>
        <v>134</v>
      </c>
      <c r="H446" s="9" t="str">
        <f>IF(G446&lt;=VLOOKUP(D446, Interview_Slots!$A$2:$B$5, 2, FALSE), "Allocated", "Not Allocated")</f>
        <v>Not Allocated</v>
      </c>
    </row>
    <row r="447">
      <c r="A447" s="6" t="s">
        <v>924</v>
      </c>
      <c r="B447" s="6" t="s">
        <v>925</v>
      </c>
      <c r="C447" s="7" t="s">
        <v>53</v>
      </c>
      <c r="D447" s="6" t="s">
        <v>21</v>
      </c>
      <c r="E447" s="9">
        <v>80.8</v>
      </c>
      <c r="F447" s="6" t="s">
        <v>962</v>
      </c>
      <c r="G447" s="6">
        <f>IFERROR(__xludf.DUMMYFUNCTION("RANK(E447, FILTER($E$2:$E1000, $D$2:$D1000=D447), 0)"),39.0)</f>
        <v>39</v>
      </c>
      <c r="H447" s="9" t="str">
        <f>IF(G447&lt;=VLOOKUP(D447, Interview_Slots!$A$2:$B$5, 2, FALSE), "Allocated", "Not Allocated")</f>
        <v>Allocated</v>
      </c>
    </row>
    <row r="448">
      <c r="A448" s="6" t="s">
        <v>926</v>
      </c>
      <c r="B448" s="6" t="s">
        <v>927</v>
      </c>
      <c r="C448" s="7" t="s">
        <v>65</v>
      </c>
      <c r="D448" s="6" t="s">
        <v>25</v>
      </c>
      <c r="E448" s="9">
        <v>90.5</v>
      </c>
      <c r="F448" s="6" t="s">
        <v>963</v>
      </c>
      <c r="G448" s="6">
        <f>IFERROR(__xludf.DUMMYFUNCTION("RANK(E448, FILTER($E$2:$E1000, $D$2:$D1000=D448), 0)"),6.0)</f>
        <v>6</v>
      </c>
      <c r="H448" s="9" t="str">
        <f>IF(G448&lt;=VLOOKUP(D448, Interview_Slots!$A$2:$B$5, 2, FALSE), "Allocated", "Not Allocated")</f>
        <v>Allocated</v>
      </c>
    </row>
    <row r="449">
      <c r="A449" s="6" t="s">
        <v>928</v>
      </c>
      <c r="B449" s="6" t="s">
        <v>929</v>
      </c>
      <c r="C449" s="7" t="s">
        <v>65</v>
      </c>
      <c r="D449" s="6" t="s">
        <v>25</v>
      </c>
      <c r="E449" s="9">
        <v>78.4</v>
      </c>
      <c r="F449" s="6" t="s">
        <v>962</v>
      </c>
      <c r="G449" s="6">
        <f>IFERROR(__xludf.DUMMYFUNCTION("RANK(E449, FILTER($E$2:$E1000, $D$2:$D1000=D449), 0)"),54.0)</f>
        <v>54</v>
      </c>
      <c r="H449" s="9" t="str">
        <f>IF(G449&lt;=VLOOKUP(D449, Interview_Slots!$A$2:$B$5, 2, FALSE), "Allocated", "Not Allocated")</f>
        <v>Not Allocated</v>
      </c>
    </row>
    <row r="450">
      <c r="A450" s="6" t="s">
        <v>930</v>
      </c>
      <c r="B450" s="6" t="s">
        <v>931</v>
      </c>
      <c r="C450" s="7" t="s">
        <v>65</v>
      </c>
      <c r="D450" s="6" t="s">
        <v>17</v>
      </c>
      <c r="E450" s="9">
        <v>84.5</v>
      </c>
      <c r="F450" s="6" t="s">
        <v>962</v>
      </c>
      <c r="G450" s="6">
        <f>IFERROR(__xludf.DUMMYFUNCTION("RANK(E450, FILTER($E$2:$E1000, $D$2:$D1000=D450), 0)"),26.0)</f>
        <v>26</v>
      </c>
      <c r="H450" s="9" t="str">
        <f>IF(G450&lt;=VLOOKUP(D450, Interview_Slots!$A$2:$B$5, 2, FALSE), "Allocated", "Not Allocated")</f>
        <v>Allocated</v>
      </c>
    </row>
    <row r="451">
      <c r="A451" s="6" t="s">
        <v>932</v>
      </c>
      <c r="B451" s="6" t="s">
        <v>933</v>
      </c>
      <c r="C451" s="7" t="s">
        <v>65</v>
      </c>
      <c r="D451" s="6" t="s">
        <v>17</v>
      </c>
      <c r="E451" s="9">
        <v>76.8</v>
      </c>
      <c r="F451" s="6" t="s">
        <v>962</v>
      </c>
      <c r="G451" s="6">
        <f>IFERROR(__xludf.DUMMYFUNCTION("RANK(E451, FILTER($E$2:$E1000, $D$2:$D1000=D451), 0)"),70.0)</f>
        <v>70</v>
      </c>
      <c r="H451" s="9" t="str">
        <f>IF(G451&lt;=VLOOKUP(D451, Interview_Slots!$A$2:$B$5, 2, FALSE), "Allocated", "Not Allocated")</f>
        <v>Allocated</v>
      </c>
    </row>
    <row r="452">
      <c r="A452" s="6" t="s">
        <v>934</v>
      </c>
      <c r="B452" s="6" t="s">
        <v>935</v>
      </c>
      <c r="C452" s="7" t="s">
        <v>28</v>
      </c>
      <c r="D452" s="6" t="s">
        <v>32</v>
      </c>
      <c r="E452" s="9">
        <v>82.0</v>
      </c>
      <c r="F452" s="6" t="s">
        <v>962</v>
      </c>
      <c r="G452" s="6">
        <f>IFERROR(__xludf.DUMMYFUNCTION("RANK(E452, FILTER($E$2:$E1000, $D$2:$D1000=D452), 0)"),40.0)</f>
        <v>40</v>
      </c>
      <c r="H452" s="9" t="str">
        <f>IF(G452&lt;=VLOOKUP(D452, Interview_Slots!$A$2:$B$5, 2, FALSE), "Allocated", "Not Allocated")</f>
        <v>Allocated</v>
      </c>
    </row>
    <row r="453">
      <c r="A453" s="6" t="s">
        <v>936</v>
      </c>
      <c r="B453" s="6" t="s">
        <v>937</v>
      </c>
      <c r="C453" s="7" t="s">
        <v>28</v>
      </c>
      <c r="D453" s="6" t="s">
        <v>17</v>
      </c>
      <c r="E453" s="9">
        <v>70.05</v>
      </c>
      <c r="F453" s="6" t="s">
        <v>962</v>
      </c>
      <c r="G453" s="6">
        <f>IFERROR(__xludf.DUMMYFUNCTION("RANK(E453, FILTER($E$2:$E1000, $D$2:$D1000=D453), 0)"),95.0)</f>
        <v>95</v>
      </c>
      <c r="H453" s="9" t="str">
        <f>IF(G453&lt;=VLOOKUP(D453, Interview_Slots!$A$2:$B$5, 2, FALSE), "Allocated", "Not Allocated")</f>
        <v>Not Allocated</v>
      </c>
    </row>
    <row r="454">
      <c r="A454" s="6" t="s">
        <v>938</v>
      </c>
      <c r="B454" s="6" t="s">
        <v>939</v>
      </c>
      <c r="C454" s="7" t="s">
        <v>28</v>
      </c>
      <c r="D454" s="6" t="s">
        <v>21</v>
      </c>
      <c r="E454" s="9">
        <v>69.4</v>
      </c>
      <c r="F454" s="6" t="s">
        <v>963</v>
      </c>
      <c r="G454" s="6">
        <f>IFERROR(__xludf.DUMMYFUNCTION("RANK(E454, FILTER($E$2:$E1000, $D$2:$D1000=D454), 0)"),106.0)</f>
        <v>106</v>
      </c>
      <c r="H454" s="9" t="str">
        <f>IF(G454&lt;=VLOOKUP(D454, Interview_Slots!$A$2:$B$5, 2, FALSE), "Allocated", "Not Allocated")</f>
        <v>Not Allocated</v>
      </c>
    </row>
    <row r="455">
      <c r="A455" s="6" t="s">
        <v>940</v>
      </c>
      <c r="B455" s="6" t="s">
        <v>941</v>
      </c>
      <c r="C455" s="7" t="s">
        <v>28</v>
      </c>
      <c r="D455" s="6" t="s">
        <v>32</v>
      </c>
      <c r="E455" s="9">
        <v>85.3</v>
      </c>
      <c r="F455" s="6" t="s">
        <v>962</v>
      </c>
      <c r="G455" s="6">
        <f>IFERROR(__xludf.DUMMYFUNCTION("RANK(E455, FILTER($E$2:$E1000, $D$2:$D1000=D455), 0)"),23.0)</f>
        <v>23</v>
      </c>
      <c r="H455" s="9" t="str">
        <f>IF(G455&lt;=VLOOKUP(D455, Interview_Slots!$A$2:$B$5, 2, FALSE), "Allocated", "Not Allocated")</f>
        <v>Allocated</v>
      </c>
    </row>
    <row r="456">
      <c r="A456" s="6" t="s">
        <v>942</v>
      </c>
      <c r="B456" s="6" t="s">
        <v>943</v>
      </c>
      <c r="C456" s="7" t="s">
        <v>41</v>
      </c>
      <c r="D456" s="6" t="s">
        <v>32</v>
      </c>
      <c r="E456" s="9">
        <v>91.45</v>
      </c>
      <c r="F456" s="6" t="s">
        <v>962</v>
      </c>
      <c r="G456" s="6">
        <f>IFERROR(__xludf.DUMMYFUNCTION("RANK(E456, FILTER($E$2:$E1000, $D$2:$D1000=D456), 0)"),3.0)</f>
        <v>3</v>
      </c>
      <c r="H456" s="9" t="str">
        <f>IF(G456&lt;=VLOOKUP(D456, Interview_Slots!$A$2:$B$5, 2, FALSE), "Allocated", "Not Allocated")</f>
        <v>Allocated</v>
      </c>
    </row>
    <row r="457">
      <c r="A457" s="6" t="s">
        <v>944</v>
      </c>
      <c r="B457" s="6" t="s">
        <v>945</v>
      </c>
      <c r="C457" s="7" t="s">
        <v>41</v>
      </c>
      <c r="D457" s="6" t="s">
        <v>17</v>
      </c>
      <c r="E457" s="9">
        <v>87.25</v>
      </c>
      <c r="F457" s="6" t="s">
        <v>962</v>
      </c>
      <c r="G457" s="6">
        <f>IFERROR(__xludf.DUMMYFUNCTION("RANK(E457, FILTER($E$2:$E1000, $D$2:$D1000=D457), 0)"),15.0)</f>
        <v>15</v>
      </c>
      <c r="H457" s="9" t="str">
        <f>IF(G457&lt;=VLOOKUP(D457, Interview_Slots!$A$2:$B$5, 2, FALSE), "Allocated", "Not Allocated")</f>
        <v>Allocated</v>
      </c>
    </row>
    <row r="458">
      <c r="A458" s="6" t="s">
        <v>946</v>
      </c>
      <c r="B458" s="6" t="s">
        <v>947</v>
      </c>
      <c r="C458" s="7" t="s">
        <v>41</v>
      </c>
      <c r="D458" s="6" t="s">
        <v>21</v>
      </c>
      <c r="E458" s="9">
        <v>77.6</v>
      </c>
      <c r="F458" s="6" t="s">
        <v>963</v>
      </c>
      <c r="G458" s="6">
        <f>IFERROR(__xludf.DUMMYFUNCTION("RANK(E458, FILTER($E$2:$E1000, $D$2:$D1000=D458), 0)"),59.0)</f>
        <v>59</v>
      </c>
      <c r="H458" s="9" t="str">
        <f>IF(G458&lt;=VLOOKUP(D458, Interview_Slots!$A$2:$B$5, 2, FALSE), "Allocated", "Not Allocated")</f>
        <v>Not Allocated</v>
      </c>
    </row>
    <row r="459">
      <c r="A459" s="6" t="s">
        <v>948</v>
      </c>
      <c r="B459" s="6" t="s">
        <v>949</v>
      </c>
      <c r="C459" s="7" t="s">
        <v>41</v>
      </c>
      <c r="D459" s="6" t="s">
        <v>21</v>
      </c>
      <c r="E459" s="9">
        <v>80.19999999999999</v>
      </c>
      <c r="F459" s="6" t="s">
        <v>963</v>
      </c>
      <c r="G459" s="6">
        <f>IFERROR(__xludf.DUMMYFUNCTION("RANK(E459, FILTER($E$2:$E1000, $D$2:$D1000=D459), 0)"),45.0)</f>
        <v>45</v>
      </c>
      <c r="H459" s="9" t="str">
        <f>IF(G459&lt;=VLOOKUP(D459, Interview_Slots!$A$2:$B$5, 2, FALSE), "Allocated", "Not Allocated")</f>
        <v>Allocated</v>
      </c>
    </row>
    <row r="460">
      <c r="A460" s="6" t="s">
        <v>950</v>
      </c>
      <c r="B460" s="6" t="s">
        <v>951</v>
      </c>
      <c r="C460" s="7" t="s">
        <v>53</v>
      </c>
      <c r="D460" s="6" t="s">
        <v>21</v>
      </c>
      <c r="E460" s="9">
        <v>68.4</v>
      </c>
      <c r="F460" s="6" t="s">
        <v>963</v>
      </c>
      <c r="G460" s="6">
        <f>IFERROR(__xludf.DUMMYFUNCTION("RANK(E460, FILTER($E$2:$E1000, $D$2:$D1000=D460), 0)"),113.0)</f>
        <v>113</v>
      </c>
      <c r="H460" s="9" t="str">
        <f>IF(G460&lt;=VLOOKUP(D460, Interview_Slots!$A$2:$B$5, 2, FALSE), "Allocated", "Not Allocated")</f>
        <v>Not Allocated</v>
      </c>
    </row>
    <row r="461">
      <c r="A461" s="6" t="s">
        <v>952</v>
      </c>
      <c r="B461" s="6" t="s">
        <v>953</v>
      </c>
      <c r="C461" s="7" t="s">
        <v>53</v>
      </c>
      <c r="D461" s="6" t="s">
        <v>25</v>
      </c>
      <c r="E461" s="9">
        <v>86.05</v>
      </c>
      <c r="F461" s="6" t="s">
        <v>962</v>
      </c>
      <c r="G461" s="6">
        <f>IFERROR(__xludf.DUMMYFUNCTION("RANK(E461, FILTER($E$2:$E1000, $D$2:$D1000=D461), 0)"),19.0)</f>
        <v>19</v>
      </c>
      <c r="H461" s="9" t="str">
        <f>IF(G461&lt;=VLOOKUP(D461, Interview_Slots!$A$2:$B$5, 2, FALSE), "Allocated", "Not Allocated")</f>
        <v>Allocated</v>
      </c>
    </row>
    <row r="462">
      <c r="A462" s="6" t="s">
        <v>954</v>
      </c>
      <c r="B462" s="6" t="s">
        <v>955</v>
      </c>
      <c r="C462" s="7" t="s">
        <v>53</v>
      </c>
      <c r="D462" s="6" t="s">
        <v>25</v>
      </c>
      <c r="E462" s="9">
        <v>79.5</v>
      </c>
      <c r="F462" s="6" t="s">
        <v>962</v>
      </c>
      <c r="G462" s="6">
        <f>IFERROR(__xludf.DUMMYFUNCTION("RANK(E462, FILTER($E$2:$E1000, $D$2:$D1000=D462), 0)"),47.0)</f>
        <v>47</v>
      </c>
      <c r="H462" s="9" t="str">
        <f>IF(G462&lt;=VLOOKUP(D462, Interview_Slots!$A$2:$B$5, 2, FALSE), "Allocated", "Not Allocated")</f>
        <v>Not Allocated</v>
      </c>
    </row>
    <row r="463">
      <c r="A463" s="6" t="s">
        <v>956</v>
      </c>
      <c r="B463" s="6" t="s">
        <v>957</v>
      </c>
      <c r="C463" s="7" t="s">
        <v>53</v>
      </c>
      <c r="D463" s="6" t="s">
        <v>25</v>
      </c>
      <c r="E463" s="9">
        <v>75.85</v>
      </c>
      <c r="F463" s="6" t="s">
        <v>963</v>
      </c>
      <c r="G463" s="6">
        <f>IFERROR(__xludf.DUMMYFUNCTION("RANK(E463, FILTER($E$2:$E1000, $D$2:$D1000=D463), 0)"),70.0)</f>
        <v>70</v>
      </c>
      <c r="H463" s="9" t="str">
        <f>IF(G463&lt;=VLOOKUP(D463, Interview_Slots!$A$2:$B$5, 2, FALSE), "Allocated", "Not Allocated")</f>
        <v>Not Allocated</v>
      </c>
    </row>
    <row r="464">
      <c r="A464" s="6" t="s">
        <v>958</v>
      </c>
      <c r="B464" s="6" t="s">
        <v>959</v>
      </c>
      <c r="C464" s="7" t="s">
        <v>65</v>
      </c>
      <c r="D464" s="6" t="s">
        <v>17</v>
      </c>
      <c r="E464" s="9">
        <v>82.1</v>
      </c>
      <c r="F464" s="6" t="s">
        <v>962</v>
      </c>
      <c r="G464" s="6">
        <f>IFERROR(__xludf.DUMMYFUNCTION("RANK(E464, FILTER($E$2:$E1000, $D$2:$D1000=D464), 0)"),37.0)</f>
        <v>37</v>
      </c>
      <c r="H464" s="9" t="str">
        <f>IF(G464&lt;=VLOOKUP(D464, Interview_Slots!$A$2:$B$5, 2, FALSE), "Allocated", "Not Allocated")</f>
        <v>Allocated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N1" s="2"/>
      <c r="O1" s="2"/>
    </row>
    <row r="2">
      <c r="I2" s="14"/>
      <c r="J2" s="2"/>
      <c r="K2" s="2"/>
      <c r="L2" s="15"/>
      <c r="M2" s="2"/>
    </row>
    <row r="3"/>
    <row r="4"/>
    <row r="5"/>
    <row r="6"/>
    <row r="9"/>
    <row r="10"/>
    <row r="11"/>
    <row r="12"/>
    <row r="13"/>
    <row r="14"/>
    <row r="24"/>
    <row r="25"/>
    <row r="26"/>
    <row r="27"/>
    <row r="28"/>
    <row r="29"/>
  </sheetData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1.25"/>
  </cols>
  <sheetData>
    <row r="1">
      <c r="A1" s="2" t="s">
        <v>971</v>
      </c>
      <c r="B1" s="2" t="s">
        <v>972</v>
      </c>
    </row>
    <row r="2">
      <c r="A2" s="13" t="s">
        <v>16</v>
      </c>
      <c r="B2" s="13" t="s">
        <v>28</v>
      </c>
    </row>
    <row r="3">
      <c r="A3" s="13" t="s">
        <v>20</v>
      </c>
      <c r="B3" s="13" t="s">
        <v>28</v>
      </c>
    </row>
    <row r="4">
      <c r="A4" s="13" t="s">
        <v>24</v>
      </c>
      <c r="B4" s="13" t="s">
        <v>28</v>
      </c>
    </row>
    <row r="5">
      <c r="A5" s="13" t="s">
        <v>28</v>
      </c>
      <c r="B5" s="13" t="s">
        <v>28</v>
      </c>
    </row>
    <row r="6">
      <c r="A6" s="13" t="s">
        <v>31</v>
      </c>
      <c r="B6" s="13" t="s">
        <v>41</v>
      </c>
    </row>
    <row r="7">
      <c r="A7" s="13" t="s">
        <v>35</v>
      </c>
      <c r="B7" s="13" t="s">
        <v>41</v>
      </c>
    </row>
    <row r="8">
      <c r="A8" s="13" t="s">
        <v>38</v>
      </c>
      <c r="B8" s="13" t="s">
        <v>41</v>
      </c>
    </row>
    <row r="9">
      <c r="A9" s="13" t="s">
        <v>41</v>
      </c>
      <c r="B9" s="13" t="s">
        <v>41</v>
      </c>
    </row>
    <row r="10">
      <c r="A10" s="13" t="s">
        <v>44</v>
      </c>
      <c r="B10" s="13" t="s">
        <v>53</v>
      </c>
    </row>
    <row r="11">
      <c r="A11" s="13" t="s">
        <v>47</v>
      </c>
      <c r="B11" s="13" t="s">
        <v>53</v>
      </c>
    </row>
    <row r="12">
      <c r="A12" s="13" t="s">
        <v>50</v>
      </c>
      <c r="B12" s="13" t="s">
        <v>53</v>
      </c>
    </row>
    <row r="13">
      <c r="A13" s="13" t="s">
        <v>53</v>
      </c>
      <c r="B13" s="13" t="s">
        <v>53</v>
      </c>
    </row>
    <row r="14">
      <c r="A14" s="13" t="s">
        <v>56</v>
      </c>
      <c r="B14" s="13" t="s">
        <v>65</v>
      </c>
    </row>
    <row r="15">
      <c r="A15" s="13" t="s">
        <v>59</v>
      </c>
      <c r="B15" s="13" t="s">
        <v>65</v>
      </c>
    </row>
    <row r="16">
      <c r="A16" s="13" t="s">
        <v>62</v>
      </c>
      <c r="B16" s="13" t="s">
        <v>65</v>
      </c>
    </row>
    <row r="17">
      <c r="A17" s="13" t="s">
        <v>65</v>
      </c>
      <c r="B17" s="13" t="s">
        <v>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4" width="19.0"/>
  </cols>
  <sheetData>
    <row r="1">
      <c r="A1" s="14" t="s">
        <v>973</v>
      </c>
      <c r="B1" s="14" t="s">
        <v>974</v>
      </c>
      <c r="C1" s="14" t="s">
        <v>975</v>
      </c>
      <c r="D1" s="14" t="s">
        <v>976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3" t="s">
        <v>32</v>
      </c>
      <c r="B2" s="13">
        <v>60.0</v>
      </c>
      <c r="C2" s="13">
        <v>65.0</v>
      </c>
      <c r="D2" s="13">
        <v>75.0</v>
      </c>
    </row>
    <row r="3">
      <c r="A3" s="13" t="s">
        <v>21</v>
      </c>
      <c r="B3" s="13">
        <v>45.0</v>
      </c>
      <c r="C3" s="13">
        <v>70.0</v>
      </c>
      <c r="D3" s="13">
        <v>80.0</v>
      </c>
    </row>
    <row r="4">
      <c r="A4" s="13" t="s">
        <v>17</v>
      </c>
      <c r="B4" s="13">
        <v>80.0</v>
      </c>
      <c r="C4" s="13">
        <v>60.0</v>
      </c>
      <c r="D4" s="13">
        <v>70.0</v>
      </c>
    </row>
    <row r="5">
      <c r="A5" s="13" t="s">
        <v>25</v>
      </c>
      <c r="B5" s="13">
        <v>30.0</v>
      </c>
      <c r="C5" s="13">
        <v>75.0</v>
      </c>
      <c r="D5" s="13">
        <v>85.0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977</v>
      </c>
      <c r="B1" s="2" t="s">
        <v>978</v>
      </c>
    </row>
    <row r="2">
      <c r="A2" s="13" t="s">
        <v>979</v>
      </c>
      <c r="B2" s="13">
        <v>0.15</v>
      </c>
    </row>
    <row r="3">
      <c r="A3" s="13" t="s">
        <v>980</v>
      </c>
      <c r="B3" s="13">
        <v>0.35</v>
      </c>
    </row>
    <row r="4">
      <c r="A4" s="13" t="s">
        <v>981</v>
      </c>
      <c r="B4" s="13">
        <v>0.5</v>
      </c>
    </row>
  </sheetData>
  <drawing r:id="rId1"/>
</worksheet>
</file>